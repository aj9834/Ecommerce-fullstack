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16455a0fc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mmary Dashboard" sheetId="1" r:id="R88c540f59db74ee7"/>
    <x:sheet xmlns:r="http://schemas.openxmlformats.org/officeDocument/2006/relationships" name="Homepage" sheetId="2" r:id="Ree7271a5799d419d"/>
    <x:sheet xmlns:r="http://schemas.openxmlformats.org/officeDocument/2006/relationships" name="Authentication" sheetId="3" r:id="R02bb284b751245a6"/>
    <x:sheet xmlns:r="http://schemas.openxmlformats.org/officeDocument/2006/relationships" name="Product Listing" sheetId="4" r:id="R173d2da66d5943ea"/>
    <x:sheet xmlns:r="http://schemas.openxmlformats.org/officeDocument/2006/relationships" name="Product Details" sheetId="5" r:id="Reabdd0e96fcb40fa"/>
    <x:sheet xmlns:r="http://schemas.openxmlformats.org/officeDocument/2006/relationships" name="Cart &amp; Checkout" sheetId="6" r:id="R93c9a5c744d44d92"/>
    <x:sheet xmlns:r="http://schemas.openxmlformats.org/officeDocument/2006/relationships" name="User Profile" sheetId="7" r:id="R603466a5dc6441e4"/>
    <x:sheet xmlns:r="http://schemas.openxmlformats.org/officeDocument/2006/relationships" name="Order Management" sheetId="8" r:id="R936de54e97724fdd"/>
    <x:sheet xmlns:r="http://schemas.openxmlformats.org/officeDocument/2006/relationships" name="Original Test Cases" sheetId="9" r:id="R9ca761bd386944e0"/>
    <x:sheet xmlns:r="http://schemas.openxmlformats.org/officeDocument/2006/relationships" name="Bug Report" sheetId="10" r:id="R7ef455642d8e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b/>
      <x:sz val="10"/>
      <x:color rgb="FF166534"/>
      <x:name val="Carlito"/>
    </x:font>
    <x:font>
      <x:b/>
      <x:sz val="10"/>
      <x:color rgb="FF92400E"/>
      <x:name val="Carlito"/>
    </x:font>
    <x:font>
      <x:b/>
      <x:sz val="10"/>
      <x:color rgb="FF991B1B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8"/>
      <x:color rgb="FF17324D"/>
      <x:name val="Carlito"/>
    </x:font>
    <x:font>
      <x:b/>
      <x:sz val="12"/>
      <x:color rgb="FF17324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DCFCE7"/>
      </x:patternFill>
    </x:fill>
    <x:fill>
      <x:patternFill patternType="solid">
        <x:fgColor rgb="FFFFEDD5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201" fontId="0" fillId="8" borderId="0" xfId="0" applyNumberFormat="1" applyFont="1" applyFill="1" applyBorder="1"/>
    <x:xf numFmtId="0" fontId="11" fillId="8" borderId="0" xfId="0" applyNumberFormat="1" applyFont="1" applyFill="1" applyBorder="1"/>
    <x:xf numFmtId="201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201" fontId="11" fillId="8" borderId="0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 vertical="center"/>
    </x:xf>
    <x:xf numFmtId="201" fontId="11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7650c7bbf4570" /><Relationship Type="http://schemas.openxmlformats.org/officeDocument/2006/relationships/theme" Target="/xl/theme/theme1.xml" Id="R8e5f9291d0a34468" /><Relationship Type="http://schemas.openxmlformats.org/officeDocument/2006/relationships/sharedStrings" Target="/xl/sharedStrings.xml" Id="R2a25bbbc297640df" /><Relationship Type="http://schemas.openxmlformats.org/officeDocument/2006/relationships/worksheet" Target="/xl/worksheets/sheet1.xml" Id="R88c540f59db74ee7" /><Relationship Type="http://schemas.openxmlformats.org/officeDocument/2006/relationships/worksheet" Target="/xl/worksheets/sheet2.xml" Id="Ree7271a5799d419d" /><Relationship Type="http://schemas.openxmlformats.org/officeDocument/2006/relationships/worksheet" Target="/xl/worksheets/sheet3.xml" Id="R02bb284b751245a6" /><Relationship Type="http://schemas.openxmlformats.org/officeDocument/2006/relationships/worksheet" Target="/xl/worksheets/sheet4.xml" Id="R173d2da66d5943ea" /><Relationship Type="http://schemas.openxmlformats.org/officeDocument/2006/relationships/worksheet" Target="/xl/worksheets/sheet5.xml" Id="Reabdd0e96fcb40fa" /><Relationship Type="http://schemas.openxmlformats.org/officeDocument/2006/relationships/worksheet" Target="/xl/worksheets/sheet6.xml" Id="R93c9a5c744d44d92" /><Relationship Type="http://schemas.openxmlformats.org/officeDocument/2006/relationships/worksheet" Target="/xl/worksheets/sheet7.xml" Id="R603466a5dc6441e4" /><Relationship Type="http://schemas.openxmlformats.org/officeDocument/2006/relationships/worksheet" Target="/xl/worksheets/sheet8.xml" Id="R936de54e97724fdd" /><Relationship Type="http://schemas.openxmlformats.org/officeDocument/2006/relationships/worksheet" Target="/xl/worksheets/sheet9.xml" Id="R9ca761bd386944e0" /><Relationship Type="http://schemas.openxmlformats.org/officeDocument/2006/relationships/worksheet" Target="/xl/worksheets/sheet10.xml" Id="R7ef455642d8e40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3d9a589a8146a5" /><Relationship Type="http://schemas.openxmlformats.org/officeDocument/2006/relationships/chart" Target="/xl/drawings/charts/chart2.xml" Id="Re21fd015a0e842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'Test Summary Dashboard'!$F$9:$F$13</c:f>
              <c:strCache>
                <c:ptCount val="0"/>
              </c:strCache>
            </c:strRef>
          </c:cat>
          <c:val>
            <c:numRef>
              <c:f>'Test Summary Dashboard'!$G$9:$G$13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Status Count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'Test Summary Dashboard'!$F$9:$F$13</c:f>
              <c:strCache>
                <c:ptCount val="0"/>
              </c:strCache>
            </c:strRef>
          </c:cat>
          <c:val>
            <c:numRef>
              <c:f>'Test Summary Dashboard'!$G$9:$G$13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3d9a589a8146a5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1fd015a0e842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ModuleExecutionSummary" displayName="ModuleExecutionSummary" ref="A8:D15" headerRowCount="1">
  <x:tableColumns count="4">
    <x:tableColumn id="1" name="Module"/>
    <x:tableColumn id="2" name="Total Cases"/>
    <x:tableColumn id="3" name="Passed"/>
    <x:tableColumn id="4" name="Open / Not Passed"/>
  </x:tableColumns>
  <x:tableStyleInfo name="TableStyleMedium4" showRowStripes="1"/>
</x:table>
</file>

<file path=xl/tables/table2.xml><?xml version="1.0" encoding="utf-8"?>
<x:table xmlns:x="http://schemas.openxmlformats.org/spreadsheetml/2006/main" id="1" name="HOME_TestCases" displayName="HOME_TestCases" ref="A5:K20" headerRowCount="1">
  <x:autoFilter ref="A5:K20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3.xml><?xml version="1.0" encoding="utf-8"?>
<x:table xmlns:x="http://schemas.openxmlformats.org/spreadsheetml/2006/main" id="2" name="AUTH_TestCases" displayName="AUTH_TestCases" ref="A5:K39" headerRowCount="1">
  <x:autoFilter ref="A5:K39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4.xml><?xml version="1.0" encoding="utf-8"?>
<x:table xmlns:x="http://schemas.openxmlformats.org/spreadsheetml/2006/main" id="3" name="PLP_TestCases" displayName="PLP_TestCases" ref="A5:K7" headerRowCount="1">
  <x:autoFilter ref="A5:K7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5.xml><?xml version="1.0" encoding="utf-8"?>
<x:table xmlns:x="http://schemas.openxmlformats.org/spreadsheetml/2006/main" id="4" name="PDP_TestCases" displayName="PDP_TestCases" ref="A5:K7" headerRowCount="1">
  <x:autoFilter ref="A5:K7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6.xml><?xml version="1.0" encoding="utf-8"?>
<x:table xmlns:x="http://schemas.openxmlformats.org/spreadsheetml/2006/main" id="5" name="CHK_TestCases" displayName="CHK_TestCases" ref="A5:K11" headerRowCount="1">
  <x:autoFilter ref="A5:K11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7.xml><?xml version="1.0" encoding="utf-8"?>
<x:table xmlns:x="http://schemas.openxmlformats.org/spreadsheetml/2006/main" id="6" name="PROF_TestCases" displayName="PROF_TestCases" ref="A5:K24" headerRowCount="1">
  <x:autoFilter ref="A5:K24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8.xml><?xml version="1.0" encoding="utf-8"?>
<x:table xmlns:x="http://schemas.openxmlformats.org/spreadsheetml/2006/main" id="7" name="ORD_TestCases" displayName="ORD_TestCases" ref="A5:K7" headerRowCount="1">
  <x:autoFilter ref="A5:K7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9.xml><?xml version="1.0" encoding="utf-8"?>
<x:table xmlns:x="http://schemas.openxmlformats.org/spreadsheetml/2006/main" id="8" name="OriginalExcelTestCases" displayName="OriginalExcelTestCases" ref="A3:I61" headerRowCount="1">
  <x:autoFilter ref="A3:I61"/>
  <x:tableColumns count="9">
    <x:tableColumn id="1" name="Original ID"/>
    <x:tableColumn id="2" name="Source Module/Category"/>
    <x:tableColumn id="3" name="Test Case Name"/>
    <x:tableColumn id="4" name="Objective"/>
    <x:tableColumn id="5" name="Prerequisites"/>
    <x:tableColumn id="6" name="Test Steps"/>
    <x:tableColumn id="7" name="Expected Result"/>
    <x:tableColumn id="8" name="Actual Result"/>
    <x:tableColumn id="9" name="Comments"/>
  </x:tableColumns>
  <x:tableStyleInfo name="TableStyleMedium2" showRowStripes="1"/>
</x:table>
</file>

<file path=xl/tables/table10.xml><?xml version="1.0" encoding="utf-8"?>
<x:table xmlns:x="http://schemas.openxmlformats.org/spreadsheetml/2006/main" id="9" name="BugReportLog" displayName="BugReportLog" ref="A3:K6" headerRowCount="1">
  <x:autoFilter ref="A3:K6"/>
  <x:tableColumns count="11">
    <x:tableColumn id="1" name="Bug ID"/>
    <x:tableColumn id="2" name="Module"/>
    <x:tableColumn id="3" name="Linked Test Case ID"/>
    <x:tableColumn id="4" name="Severity"/>
    <x:tableColumn id="5" name="Priority"/>
    <x:tableColumn id="6" name="Bug Summary"/>
    <x:tableColumn id="7" name="Steps to Reproduce"/>
    <x:tableColumn id="8" name="Expected Result"/>
    <x:tableColumn id="9" name="Actual Result"/>
    <x:tableColumn id="10" name="Status"/>
    <x:tableColumn id="11" name="Remarks / 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8e654f2c6f45b9" /><Relationship Type="http://schemas.openxmlformats.org/officeDocument/2006/relationships/table" Target="/xl/tables/table1.xml" Id="R2fa86581dd9547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8c90eec266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c2e169a9db4a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be88a044fe49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47cd84691c40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aeeec86757f4b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a4361d6077e44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8fe0401fc649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6fd34ab6a1b4df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e9659fe7eed4e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7" hidden="0" customWidth="1"/>
    <x:col min="5" max="5" width="15" hidden="0" customWidth="1"/>
    <x:col min="6" max="6" width="14" hidden="0" customWidth="1"/>
    <x:col min="7" max="7" width="12" hidden="0" customWidth="1"/>
    <x:col min="8" max="8" width="4" hidden="0" customWidth="1"/>
    <x:col min="9" max="9" width="28" hidden="0" customWidth="1"/>
    <x:col min="10" max="10" width="20" hidden="0" customWidth="1"/>
    <x:col min="11" max="11" width="20" hidden="0" customWidth="1"/>
  </x:cols>
  <x:sheetData>
    <x:row r="1" ht="31.5" customHeight="1">
      <x:c r="A1" s="34" t="str">
        <x:v>Ecommerce QA Test Summary Dashboard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</x:row>
    <x:row r="2">
      <x:c r="A2" s="37" t="str">
        <x:v>Professional QA workbook with all original Excel test cases preserved, plus module-wise coverage, filters, priority/status highlighting, bug tracking, and execution charts.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4" ht="24" customHeight="1">
      <x:c r="A4" s="39" t="str">
        <x:v>Total Test Cases</x:v>
      </x:c>
      <x:c r="B4" s="39" t="str">
        <x:v>Passed Cases</x:v>
      </x:c>
      <x:c r="C4" s="39" t="str">
        <x:v>Failed Cases</x:v>
      </x:c>
      <x:c r="D4" s="39" t="str">
        <x:v>Pending Cases</x:v>
      </x:c>
      <x:c r="E4" s="39" t="str">
        <x:v>Blocked Cases</x:v>
      </x:c>
      <x:c r="F4" s="39" t="str">
        <x:v>Pass Percentage</x:v>
      </x:c>
    </x:row>
    <x:row r="5" ht="24" customHeight="1">
      <x:c r="A5" s="45" t="n">
        <x:f>SUM(COUNTA('Homepage'!$A$6:$A$205),COUNTA('Authentication'!$A$6:$A$205),COUNTA('Product Listing'!$A$6:$A$205),COUNTA('Product Details'!$A$6:$A$205),COUNTA('Cart &amp; Checkout'!$A$6:$A$205),COUNTA('User Profile'!$A$6:$A$205),COUNTA('Order Management'!$A$6:$A$205))</x:f>
        <x:v>80</x:v>
      </x:c>
      <x:c r="B5" s="45" t="n">
        <x:f>SUM(COUNTIF('Homepage'!$I$6:$I$205,"Pass"),COUNTIF('Authentication'!$I$6:$I$205,"Pass"),COUNTIF('Product Listing'!$I$6:$I$205,"Pass"),COUNTIF('Product Details'!$I$6:$I$205,"Pass"),COUNTIF('Cart &amp; Checkout'!$I$6:$I$205,"Pass"),COUNTIF('User Profile'!$I$6:$I$205,"Pass"),COUNTIF('Order Management'!$I$6:$I$205,"Pass"))</x:f>
        <x:v>69</x:v>
      </x:c>
      <x:c r="C5" s="45" t="n">
        <x:f>SUM(COUNTIF('Homepage'!$I$6:$I$205,"Failed"),COUNTIF('Authentication'!$I$6:$I$205,"Failed"),COUNTIF('Product Listing'!$I$6:$I$205,"Failed"),COUNTIF('Product Details'!$I$6:$I$205,"Failed"),COUNTIF('Cart &amp; Checkout'!$I$6:$I$205,"Failed"),COUNTIF('User Profile'!$I$6:$I$205,"Failed"),COUNTIF('Order Management'!$I$6:$I$205,"Failed"))</x:f>
        <x:v>1</x:v>
      </x:c>
      <x:c r="D5" s="45" t="n">
        <x:f>SUM(COUNTIF('Homepage'!$I$6:$I$205,"Pending")+COUNTIF('Homepage'!$I$6:$I$205,"Not Run"),COUNTIF('Authentication'!$I$6:$I$205,"Pending")+COUNTIF('Authentication'!$I$6:$I$205,"Not Run"),COUNTIF('Product Listing'!$I$6:$I$205,"Pending")+COUNTIF('Product Listing'!$I$6:$I$205,"Not Run"),COUNTIF('Product Details'!$I$6:$I$205,"Pending")+COUNTIF('Product Details'!$I$6:$I$205,"Not Run"),COUNTIF('Cart &amp; Checkout'!$I$6:$I$205,"Pending")+COUNTIF('Cart &amp; Checkout'!$I$6:$I$205,"Not Run"),COUNTIF('User Profile'!$I$6:$I$205,"Pending")+COUNTIF('User Profile'!$I$6:$I$205,"Not Run"),COUNTIF('Order Management'!$I$6:$I$205,"Pending")+COUNTIF('Order Management'!$I$6:$I$205,"Not Run"),COUNTIF('Original Test Cases'!$I$6:$I$205,"Pending")+COUNTIF('Original Test Cases'!$I$6:$I$205,"Not Run"))</x:f>
        <x:v>10</x:v>
      </x:c>
      <x:c r="E5" s="45" t="n">
        <x:f>SUM(COUNTIF('Homepage'!$I$6:$I$205,"Blocked"),COUNTIF('Authentication'!$I$6:$I$205,"Blocked"),COUNTIF('Product Listing'!$I$6:$I$205,"Blocked"),COUNTIF('Product Details'!$I$6:$I$205,"Blocked"),COUNTIF('Cart &amp; Checkout'!$I$6:$I$205,"Blocked"),COUNTIF('User Profile'!$I$6:$I$205,"Blocked"),COUNTIF('Order Management'!$I$6:$I$205,"Blocked"))</x:f>
        <x:v>0</x:v>
      </x:c>
      <x:c r="F5" s="46" t="n">
        <x:f>IF(A5=0,0,B5/A5)</x:f>
        <x:v>0.8625</x:v>
      </x:c>
    </x:row>
    <x:row r="8">
      <x:c r="A8" s="49" t="str">
        <x:v>Module</x:v>
      </x:c>
      <x:c r="B8" s="49" t="str">
        <x:v>Total Cases</x:v>
      </x:c>
      <x:c r="C8" s="49" t="str">
        <x:v>Passed</x:v>
      </x:c>
      <x:c r="D8" s="49" t="str">
        <x:v>Open / Not Passed</x:v>
      </x:c>
      <x:c r="F8" s="39" t="str">
        <x:v>Status</x:v>
      </x:c>
      <x:c r="G8" s="39" t="str">
        <x:v>Count</x:v>
      </x:c>
    </x:row>
    <x:row r="9">
      <x:c r="A9" t="str">
        <x:v>Homepage</x:v>
      </x:c>
      <x:c r="B9" t="n">
        <x:f>COUNTA('Homepage'!$A$6:$A$205)</x:f>
        <x:v>15</x:v>
      </x:c>
      <x:c r="C9" t="n">
        <x:f>COUNTIF('Homepage'!$I$6:$I$205,"Pass")</x:f>
        <x:v>13</x:v>
      </x:c>
      <x:c r="D9" t="n">
        <x:f>B9-C9</x:f>
        <x:v>2</x:v>
      </x:c>
      <x:c r="F9" t="str">
        <x:v>Pass</x:v>
      </x:c>
      <x:c r="G9" t="n">
        <x:f>SUM(COUNTIF('Homepage'!$I$6:$I$205,"Pass"),COUNTIF('Authentication'!$I$6:$I$205,"Pass"),COUNTIF('Product Listing'!$I$6:$I$205,"Pass"),COUNTIF('Product Details'!$I$6:$I$205,"Pass"),COUNTIF('Cart &amp; Checkout'!$I$6:$I$205,"Pass"),COUNTIF('User Profile'!$I$6:$I$205,"Pass"),COUNTIF('Order Management'!$I$6:$I$205,"Pass"))</x:f>
        <x:v>69</x:v>
      </x:c>
    </x:row>
    <x:row r="10">
      <x:c r="A10" t="str">
        <x:v>Authentication</x:v>
      </x:c>
      <x:c r="B10" t="n">
        <x:f>COUNTA('Authentication'!$A$6:$A$205)</x:f>
        <x:v>34</x:v>
      </x:c>
      <x:c r="C10" t="n">
        <x:f>COUNTIF('Authentication'!$I$6:$I$205,"Pass")</x:f>
        <x:v>31</x:v>
      </x:c>
      <x:c r="D10" t="n">
        <x:f>B10-C10</x:f>
        <x:v>3</x:v>
      </x:c>
      <x:c r="F10" t="str">
        <x:v>Failed</x:v>
      </x:c>
      <x:c r="G10" t="n">
        <x:f>SUM(COUNTIF('Homepage'!$I$6:$I$205,"Failed"),COUNTIF('Authentication'!$I$6:$I$205,"Failed"),COUNTIF('Product Listing'!$I$6:$I$205,"Failed"),COUNTIF('Product Details'!$I$6:$I$205,"Failed"),COUNTIF('Cart &amp; Checkout'!$I$6:$I$205,"Failed"),COUNTIF('User Profile'!$I$6:$I$205,"Failed"),COUNTIF('Order Management'!$I$6:$I$205,"Failed"))</x:f>
        <x:v>1</x:v>
      </x:c>
    </x:row>
    <x:row r="11">
      <x:c r="A11" t="str">
        <x:v>Product Listing</x:v>
      </x:c>
      <x:c r="B11" t="n">
        <x:f>COUNTA('Product Listing'!$A$6:$A$205)</x:f>
        <x:v>2</x:v>
      </x:c>
      <x:c r="C11" t="n">
        <x:f>COUNTIF('Product Listing'!$I$6:$I$205,"Pass")</x:f>
        <x:v>1</x:v>
      </x:c>
      <x:c r="D11" t="n">
        <x:f>B11-C11</x:f>
        <x:v>1</x:v>
      </x:c>
      <x:c r="F11" t="str">
        <x:v>Pending</x:v>
      </x:c>
      <x:c r="G11" t="n">
        <x:f>SUM(COUNTIF('Homepage'!$I$6:$I$205,"Pending"),COUNTIF('Authentication'!$I$6:$I$205,"Pending"),COUNTIF('Product Listing'!$I$6:$I$205,"Pending"),COUNTIF('Product Details'!$I$6:$I$205,"Pending"),COUNTIF('Cart &amp; Checkout'!$I$6:$I$205,"Pending"),COUNTIF('User Profile'!$I$6:$I$205,"Pending"),COUNTIF('Order Management'!$I$6:$I$205,"Pending"))</x:f>
        <x:v>10</x:v>
      </x:c>
    </x:row>
    <x:row r="12">
      <x:c r="A12" t="str">
        <x:v>Product Details</x:v>
      </x:c>
      <x:c r="B12" t="n">
        <x:f>COUNTA('Product Details'!$A$6:$A$205)</x:f>
        <x:v>2</x:v>
      </x:c>
      <x:c r="C12" t="n">
        <x:f>COUNTIF('Product Details'!$I$6:$I$205,"Pass")</x:f>
        <x:v>1</x:v>
      </x:c>
      <x:c r="D12" t="n">
        <x:f>B12-C12</x:f>
        <x:v>1</x:v>
      </x:c>
      <x:c r="F12" t="str">
        <x:v>Blocked</x:v>
      </x:c>
      <x:c r="G12" t="n">
        <x:f>SUM(COUNTIF('Homepage'!$I$6:$I$205,"Blocked"),COUNTIF('Authentication'!$I$6:$I$205,"Blocked"),COUNTIF('Product Listing'!$I$6:$I$205,"Blocked"),COUNTIF('Product Details'!$I$6:$I$205,"Blocked"),COUNTIF('Cart &amp; Checkout'!$I$6:$I$205,"Blocked"),COUNTIF('User Profile'!$I$6:$I$205,"Blocked"),COUNTIF('Order Management'!$I$6:$I$205,"Blocked"))</x:f>
        <x:v>0</x:v>
      </x:c>
    </x:row>
    <x:row r="13">
      <x:c r="A13" t="str">
        <x:v>Cart &amp; Checkout</x:v>
      </x:c>
      <x:c r="B13" t="n">
        <x:f>COUNTA('Cart &amp; Checkout'!$A$6:$A$205)</x:f>
        <x:v>6</x:v>
      </x:c>
      <x:c r="C13" t="n">
        <x:f>COUNTIF('Cart &amp; Checkout'!$I$6:$I$205,"Pass")</x:f>
        <x:v>3</x:v>
      </x:c>
      <x:c r="D13" t="n">
        <x:f>B13-C13</x:f>
        <x:v>3</x:v>
      </x:c>
      <x:c r="F13" t="str">
        <x:v>Not Run</x:v>
      </x:c>
      <x:c r="G13" t="n">
        <x:f>SUM(COUNTIF('Homepage'!$I$6:$I$205,"Not Run"),COUNTIF('Authentication'!$I$6:$I$205,"Not Run"),COUNTIF('Product Listing'!$I$6:$I$205,"Not Run"),COUNTIF('Product Details'!$I$6:$I$205,"Not Run"),COUNTIF('Cart &amp; Checkout'!$I$6:$I$205,"Not Run"),COUNTIF('User Profile'!$I$6:$I$205,"Not Run"),COUNTIF('Order Management'!$I$6:$I$205,"Not Run"))</x:f>
        <x:v>0</x:v>
      </x:c>
    </x:row>
    <x:row r="14">
      <x:c r="A14" t="str">
        <x:v>User Profile</x:v>
      </x:c>
      <x:c r="B14" t="n">
        <x:f>COUNTA('User Profile'!$A$6:$A$205)</x:f>
        <x:v>19</x:v>
      </x:c>
      <x:c r="C14" t="n">
        <x:f>COUNTIF('User Profile'!$I$6:$I$205,"Pass")</x:f>
        <x:v>19</x:v>
      </x:c>
      <x:c r="D14" t="n">
        <x:f>B14-C14</x:f>
        <x:v>0</x:v>
      </x:c>
    </x:row>
    <x:row r="15">
      <x:c r="A15" t="str">
        <x:v>Order Management</x:v>
      </x:c>
      <x:c r="B15" t="n">
        <x:f>COUNTA('Order Management'!$A$6:$A$205)</x:f>
        <x:v>2</x:v>
      </x:c>
      <x:c r="C15" t="n">
        <x:f>COUNTIF('Order Management'!$I$6:$I$205,"Pass")</x:f>
        <x:v>1</x:v>
      </x:c>
      <x:c r="D15" t="n">
        <x:f>B15-C15</x:f>
        <x:v>1</x:v>
      </x:c>
    </x:row>
    <x:row r="16">
      <x:c r="F16" s="49" t="str">
        <x:v>Priority</x:v>
      </x:c>
      <x:c r="G16" s="49" t="str">
        <x:v>Count</x:v>
      </x:c>
    </x:row>
    <x:row r="17">
      <x:c r="F17" t="str">
        <x:v>High</x:v>
      </x:c>
      <x:c r="G17" t="n">
        <x:f>SUM(COUNTIF('Homepage'!$J$6:$J$205,"High"),COUNTIF('Authentication'!$J$6:$J$205,"High"),COUNTIF('Product Listing'!$J$6:$J$205,"High"),COUNTIF('Product Details'!$J$6:$J$205,"High"),COUNTIF('Cart &amp; Checkout'!$J$6:$J$205,"High"),COUNTIF('User Profile'!$J$6:$J$205,"High"),COUNTIF('Order Management'!$J$6:$J$205,"High"))</x:f>
        <x:v>49</x:v>
      </x:c>
    </x:row>
    <x:row r="18">
      <x:c r="F18" t="str">
        <x:v>Medium</x:v>
      </x:c>
      <x:c r="G18" t="n">
        <x:f>SUM(COUNTIF('Homepage'!$J$6:$J$205,"Medium"),COUNTIF('Authentication'!$J$6:$J$205,"Medium"),COUNTIF('Product Listing'!$J$6:$J$205,"Medium"),COUNTIF('Product Details'!$J$6:$J$205,"Medium"),COUNTIF('Cart &amp; Checkout'!$J$6:$J$205,"Medium"),COUNTIF('User Profile'!$J$6:$J$205,"Medium"),COUNTIF('Order Management'!$J$6:$J$205,"Medium"))</x:f>
        <x:v>7</x:v>
      </x:c>
    </x:row>
    <x:row r="19">
      <x:c r="F19" t="str">
        <x:v>Low</x:v>
      </x:c>
      <x:c r="G19" t="n">
        <x:f>SUM(COUNTIF('Homepage'!$J$6:$J$205,"Low"),COUNTIF('Authentication'!$J$6:$J$205,"Low"),COUNTIF('Product Listing'!$J$6:$J$205,"Low"),COUNTIF('Product Details'!$J$6:$J$205,"Low"),COUNTIF('Cart &amp; Checkout'!$J$6:$J$205,"Low"),COUNTIF('User Profile'!$J$6:$J$205,"Low"),COUNTIF('Order Management'!$J$6:$J$205,"Low"))</x:f>
        <x:v>24</x:v>
      </x:c>
    </x:row>
    <x:row r="22">
      <x:c r="A22" s="51" t="str">
        <x:v>Workbook Navigation</x:v>
      </x:c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</x:row>
    <x:row r="23">
      <x:c r="A23" s="30" t="str">
        <x:v>Homepage</x:v>
      </x:c>
      <x:c r="B23" s="30" t="str">
        <x:v>Homepage UI, navigation, responsiveness, and entry-point checks</x:v>
      </x:c>
    </x:row>
    <x:row r="24">
      <x:c r="A24" s="30" t="str">
        <x:v>Authentication</x:v>
      </x:c>
      <x:c r="B24" s="30" t="str">
        <x:v>Login, signup, forgot password, logout, and session timeout</x:v>
      </x:c>
    </x:row>
    <x:row r="25">
      <x:c r="A25" s="30" t="str">
        <x:v>Product Listing</x:v>
      </x:c>
      <x:c r="B25" s="30" t="str">
        <x:v>Catalog, search, filters, sorting, pagination, and no-result states</x:v>
      </x:c>
    </x:row>
    <x:row r="26">
      <x:c r="A26" s="30" t="str">
        <x:v>Product Details</x:v>
      </x:c>
      <x:c r="B26" s="30" t="str">
        <x:v>PDP information, image gallery, quantity, stock, and add-to-cart</x:v>
      </x:c>
    </x:row>
    <x:row r="27">
      <x:c r="A27" s="30" t="str">
        <x:v>Cart &amp; Checkout</x:v>
      </x:c>
      <x:c r="B27" s="30" t="str">
        <x:v>Cart operations, checkout, shipping, payment, and totals</x:v>
      </x:c>
    </x:row>
    <x:row r="28">
      <x:c r="A28" s="30" t="str">
        <x:v>User Profile</x:v>
      </x:c>
      <x:c r="B28" s="30" t="str">
        <x:v>Profile display/edit, password change, and address management</x:v>
      </x:c>
    </x:row>
    <x:row r="29">
      <x:c r="A29" s="30" t="str">
        <x:v>Order Management</x:v>
      </x:c>
      <x:c r="B29" s="30" t="str">
        <x:v>Confirmation, order history, details, cancellation, and invoice</x:v>
      </x:c>
    </x:row>
    <x:row r="30">
      <x:c r="A30" s="30" t="str">
        <x:v>Original Test Cases</x:v>
      </x:c>
      <x:c r="B30" s="30" t="str">
        <x:v>Exact imported test cases from your original Excel/CSV source</x:v>
      </x:c>
    </x:row>
    <x:row r="31">
      <x:c r="A31" s="30" t="str">
        <x:v>Bug Report</x:v>
      </x:c>
      <x:c r="B31" s="30" t="str">
        <x:v>Defect log with severity, priority, reproduction steps, and status</x:v>
      </x:c>
    </x:row>
  </x:sheetData>
  <x:mergeCells>
    <x:mergeCell ref="A1:K1"/>
    <x:mergeCell ref="A2:K2"/>
    <x:mergeCell ref="A22:K22"/>
  </x:mergeCells>
  <x:pageMargins left="0.7" right="0.7" top="0.75" bottom="0.75" header="0.3" footer="0.3"/>
  <x:drawing xmlns:r="http://schemas.openxmlformats.org/officeDocument/2006/relationships" r:id="R088e654f2c6f45b9"/>
  <x:tableParts count="1">
    <x:tablePart xmlns:r="http://schemas.openxmlformats.org/officeDocument/2006/relationships" r:id="R2fa86581dd9547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0" hidden="0" customWidth="1"/>
    <x:col min="5" max="5" width="44" hidden="0" customWidth="1"/>
    <x:col min="6" max="6" width="28" hidden="0" customWidth="1"/>
    <x:col min="7" max="7" width="40" hidden="0" customWidth="1"/>
    <x:col min="8" max="8" width="24" hidden="0" customWidth="1"/>
    <x:col min="9" max="9" width="13" hidden="0" customWidth="1"/>
    <x:col min="10" max="10" width="12" hidden="0" customWidth="1"/>
    <x:col min="11" max="11" width="34" hidden="0" customWidth="1"/>
  </x:cols>
  <x:sheetData>
    <x:row r="1" ht="27" customHeight="1">
      <x:c r="A1" s="4" t="str">
        <x:v>Ecommerce QA Test Cases - Homepage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Project</x:v>
      </x:c>
      <x:c r="B2" s="7" t="str">
        <x:v>Ecommerce Fullstack QA</x:v>
      </x:c>
      <x:c r="C2" s="7" t="str"/>
      <x:c r="D2" s="8" t="str">
        <x:v>Module</x:v>
      </x:c>
      <x:c r="E2" s="7" t="str">
        <x:v>Homepage</x:v>
      </x:c>
      <x:c r="F2" s="7" t="str"/>
      <x:c r="G2" s="8" t="str">
        <x:v>Prepared For</x:v>
      </x:c>
      <x:c r="H2" s="7" t="str">
        <x:v>Interview / Portfolio / Real QA Usage</x:v>
      </x:c>
      <x:c r="I2" s="7" t="str"/>
      <x:c r="J2" s="8" t="str">
        <x:v>Updated</x:v>
      </x:c>
      <x:c r="K2" s="9" t="n">
        <x:v>46170.69377224537</x:v>
      </x:c>
    </x:row>
    <x:row r="3">
      <x:c r="A3" s="8" t="str">
        <x:v>Format</x:v>
      </x:c>
      <x:c r="B3" s="7" t="str">
        <x:v>QA Industry Standard</x:v>
      </x:c>
      <x:c r="C3" s="7" t="str"/>
      <x:c r="D3" s="8" t="str">
        <x:v>Execution</x:v>
      </x:c>
      <x:c r="E3" s="7" t="str">
        <x:v>Manual + Automation Ready</x:v>
      </x:c>
      <x:c r="F3" s="7" t="str"/>
      <x:c r="G3" s="8" t="str">
        <x:v>Legend</x:v>
      </x:c>
      <x:c r="H3" s="7" t="str">
        <x:v>Priority and status are color-coded</x:v>
      </x:c>
      <x:c r="I3" s="7" t="str"/>
      <x:c r="J3" s="8" t="str">
        <x:v>Owner</x:v>
      </x:c>
      <x:c r="K3" s="7" t="str">
        <x:v>QA Team</x:v>
      </x:c>
    </x:row>
    <x:row r="5" ht="24" customHeight="1">
      <x:c r="A5" s="14" t="str">
        <x:v>Test Case ID</x:v>
      </x:c>
      <x:c r="B5" s="14" t="str">
        <x:v>Module</x:v>
      </x:c>
      <x:c r="C5" s="14" t="str">
        <x:v>Test Scenario</x:v>
      </x:c>
      <x:c r="D5" s="14" t="str">
        <x:v>Preconditions</x:v>
      </x:c>
      <x:c r="E5" s="14" t="str">
        <x:v>Test Steps</x:v>
      </x:c>
      <x:c r="F5" s="14" t="str">
        <x:v>Test Data</x:v>
      </x:c>
      <x:c r="G5" s="14" t="str">
        <x:v>Expected Result</x:v>
      </x:c>
      <x:c r="H5" s="14" t="str">
        <x:v>Actual Result</x:v>
      </x:c>
      <x:c r="I5" s="14" t="str">
        <x:v>Status</x:v>
      </x:c>
      <x:c r="J5" s="14" t="str">
        <x:v>Priority</x:v>
      </x:c>
      <x:c r="K5" s="14" t="str">
        <x:v>Remarks</x:v>
      </x:c>
    </x:row>
    <x:row r="6" ht="43.5" customHeight="1">
      <x:c r="A6" s="18" t="str">
        <x:v>TC-HOME-001</x:v>
      </x:c>
      <x:c r="B6" s="18" t="str">
        <x:v>Homepage</x:v>
      </x:c>
      <x:c r="C6" s="17" t="str">
        <x:v>Homepage UI validation</x:v>
      </x:c>
      <x:c r="D6" s="17" t="str">
        <x:v>Guest user opens the ecommerce site</x:v>
      </x:c>
      <x:c r="E6" s="17" t="str">
        <x:v>1. Launch the application. 2. Verify logo, banner, featured categories, product cards, and footer alignment.</x:v>
      </x:c>
      <x:c r="F6" s="17" t="str">
        <x:v>Desktop and mobile viewport</x:v>
      </x:c>
      <x:c r="G6" s="17" t="str">
        <x:v>Homepage loads with clean layout, no broken images, and consistent branding.</x:v>
      </x:c>
      <x:c r="H6" s="17" t="str">
        <x:v>As expected</x:v>
      </x:c>
      <x:c r="I6" s="20" t="str">
        <x:v>Pass</x:v>
      </x:c>
      <x:c r="J6" s="22" t="str">
        <x:v>Medium</x:v>
      </x:c>
      <x:c r="K6" s="17" t="str">
        <x:v>Professional UI smoke test.</x:v>
      </x:c>
    </x:row>
    <x:row r="7" ht="43.5" customHeight="1">
      <x:c r="A7" s="18" t="str">
        <x:v>TC-HOME-002</x:v>
      </x:c>
      <x:c r="B7" s="18" t="str">
        <x:v>Homepage</x:v>
      </x:c>
      <x:c r="C7" s="17" t="str">
        <x:v>Navigation menu validation</x:v>
      </x:c>
      <x:c r="D7" s="17" t="str">
        <x:v>Guest user is on homepage</x:v>
      </x:c>
      <x:c r="E7" s="17" t="str">
        <x:v>1. Click each navigation item. 2. Verify destination and active state.</x:v>
      </x:c>
      <x:c r="F7" s="17" t="str">
        <x:v>Home, Products, Cart, Login, Profile</x:v>
      </x:c>
      <x:c r="G7" s="17" t="str">
        <x:v>Every navigation item routes correctly without broken links.</x:v>
      </x:c>
      <x:c r="H7" s="17" t="str">
        <x:v>As expected</x:v>
      </x:c>
      <x:c r="I7" s="20" t="str">
        <x:v>Pass</x:v>
      </x:c>
      <x:c r="J7" s="24" t="str">
        <x:v>High</x:v>
      </x:c>
      <x:c r="K7" s="17" t="str">
        <x:v>Requested sample.</x:v>
      </x:c>
    </x:row>
    <x:row r="8" ht="43.5" customHeight="1">
      <x:c r="A8" s="18" t="str">
        <x:v>TC-HOME-003</x:v>
      </x:c>
      <x:c r="B8" s="18" t="str">
        <x:v>Homepage</x:v>
      </x:c>
      <x:c r="C8" s="17" t="str">
        <x:v>Home Page Opens After Login</x:v>
      </x:c>
      <x:c r="D8" s="17" t="str">
        <x:v>User is logged in.</x:v>
      </x:c>
      <x:c r="E8" s="17" t="str">
        <x:v>1. Login with valid user.</x:v>
      </x:c>
      <x:c r="F8" s="17" t="str">
        <x:v>Email: qa.user@example.com; Password: Valid@123</x:v>
      </x:c>
      <x:c r="G8" s="17" t="str">
        <x:v>Dashboard page opens.</x:v>
      </x:c>
      <x:c r="H8" s="17" t="str">
        <x:v>As expected</x:v>
      </x:c>
      <x:c r="I8" s="20" t="str">
        <x:v>Pass</x:v>
      </x:c>
      <x:c r="J8" s="24" t="str">
        <x:v>High</x:v>
      </x:c>
      <x:c r="K8" s="17" t="str">
        <x:v>Original Excel: LoginPage.jsx navigates to /dashboard after login.</x:v>
      </x:c>
    </x:row>
    <x:row r="9" ht="43.5" customHeight="1">
      <x:c r="A9" s="18" t="str">
        <x:v>TC-HOME-004</x:v>
      </x:c>
      <x:c r="B9" s="18" t="str">
        <x:v>Homepage</x:v>
      </x:c>
      <x:c r="C9" s="17" t="str">
        <x:v>Home Page Greeting</x:v>
      </x:c>
      <x:c r="D9" s="17" t="str">
        <x:v>User is logged in.</x:v>
      </x:c>
      <x:c r="E9" s="17" t="str">
        <x:v>1. Open dashboard. 2. Check hero section.</x:v>
      </x:c>
      <x:c r="F9" s="17" t="str">
        <x:v>Standard QA test data</x:v>
      </x:c>
      <x:c r="G9" s="17" t="str">
        <x:v>Good day, user name is displayed.</x:v>
      </x:c>
      <x:c r="H9" s="17" t="str">
        <x:v>As expected</x:v>
      </x:c>
      <x:c r="I9" s="20" t="str">
        <x:v>Pass</x:v>
      </x:c>
      <x:c r="J9" s="20" t="str">
        <x:v>Low</x:v>
      </x:c>
      <x:c r="K9" s="17" t="str">
        <x:v>Original Excel: DashboardPage.jsx uses user?.name.</x:v>
      </x:c>
    </x:row>
    <x:row r="10" ht="43.5" customHeight="1">
      <x:c r="A10" s="18" t="str">
        <x:v>TC-HOME-005</x:v>
      </x:c>
      <x:c r="B10" s="18" t="str">
        <x:v>Homepage</x:v>
      </x:c>
      <x:c r="C10" s="17" t="str">
        <x:v>Browse Products Button</x:v>
      </x:c>
      <x:c r="D10" s="17" t="str">
        <x:v>User is on dashboard.</x:v>
      </x:c>
      <x:c r="E10" s="17" t="str">
        <x:v>1. Click Browse products button.</x:v>
      </x:c>
      <x:c r="F10" s="17" t="str">
        <x:v>Standard QA test data</x:v>
      </x:c>
      <x:c r="G10" s="17" t="str">
        <x:v>Products page opens.</x:v>
      </x:c>
      <x:c r="H10" s="17" t="str">
        <x:v>As expected</x:v>
      </x:c>
      <x:c r="I10" s="20" t="str">
        <x:v>Pass</x:v>
      </x:c>
      <x:c r="J10" s="20" t="str">
        <x:v>Low</x:v>
      </x:c>
      <x:c r="K10" s="17" t="str">
        <x:v>Original Excel: DashboardPage.jsx navigates to /products.</x:v>
      </x:c>
    </x:row>
    <x:row r="11" ht="43.5" customHeight="1">
      <x:c r="A11" s="18" t="str">
        <x:v>TC-HOME-006</x:v>
      </x:c>
      <x:c r="B11" s="18" t="str">
        <x:v>Homepage</x:v>
      </x:c>
      <x:c r="C11" s="17" t="str">
        <x:v>Products Card Click</x:v>
      </x:c>
      <x:c r="D11" s="17" t="str">
        <x:v>User is on dashboard.</x:v>
      </x:c>
      <x:c r="E11" s="17" t="str">
        <x:v>1. Click Products card.</x:v>
      </x:c>
      <x:c r="F11" s="17" t="str">
        <x:v>Standard QA test data</x:v>
      </x:c>
      <x:c r="G11" s="17" t="str">
        <x:v>Products page opens.</x:v>
      </x:c>
      <x:c r="H11" s="17" t="str">
        <x:v>As expected</x:v>
      </x:c>
      <x:c r="I11" s="20" t="str">
        <x:v>Pass</x:v>
      </x:c>
      <x:c r="J11" s="20" t="str">
        <x:v>Low</x:v>
      </x:c>
      <x:c r="K11" s="17" t="str">
        <x:v>Original Excel: Products card has onClick navigate(/products).</x:v>
      </x:c>
    </x:row>
    <x:row r="12" ht="43.5" customHeight="1">
      <x:c r="A12" s="18" t="str">
        <x:v>TC-HOME-007</x:v>
      </x:c>
      <x:c r="B12" s="18" t="str">
        <x:v>Homepage</x:v>
      </x:c>
      <x:c r="C12" s="17" t="str">
        <x:v>My Cart Card Click</x:v>
      </x:c>
      <x:c r="D12" s="17" t="str">
        <x:v>User is on dashboard.</x:v>
      </x:c>
      <x:c r="E12" s="17" t="str">
        <x:v>1. Click My cart card.</x:v>
      </x:c>
      <x:c r="F12" s="17" t="str">
        <x:v>Product: Test SKU 1001; Qty: 2</x:v>
      </x:c>
      <x:c r="G12" s="17" t="str">
        <x:v>Cart page opens.</x:v>
      </x:c>
      <x:c r="H12" s="17" t="str">
        <x:v>As expected</x:v>
      </x:c>
      <x:c r="I12" s="20" t="str">
        <x:v>Pass</x:v>
      </x:c>
      <x:c r="J12" s="22" t="str">
        <x:v>Medium</x:v>
      </x:c>
      <x:c r="K12" s="17" t="str">
        <x:v>Original Excel: My cart card has onClick navigate(/cart).</x:v>
      </x:c>
    </x:row>
    <x:row r="13" ht="43.5" customHeight="1">
      <x:c r="A13" s="18" t="str">
        <x:v>TC-HOME-008</x:v>
      </x:c>
      <x:c r="B13" s="18" t="str">
        <x:v>Homepage</x:v>
      </x:c>
      <x:c r="C13" s="17" t="str">
        <x:v>Orders Card Click</x:v>
      </x:c>
      <x:c r="D13" s="17" t="str">
        <x:v>User is on dashboard.</x:v>
      </x:c>
      <x:c r="E13" s="17" t="str">
        <x:v>1. Click Orders card.</x:v>
      </x:c>
      <x:c r="F13" s="17" t="str">
        <x:v>Standard QA test data</x:v>
      </x:c>
      <x:c r="G13" s="17" t="str">
        <x:v>Orders page should open if card is clickable.</x:v>
      </x:c>
      <x:c r="H13" s="17" t="str"/>
      <x:c r="I13" s="22" t="str">
        <x:v>Pending</x:v>
      </x:c>
      <x:c r="J13" s="22" t="str">
        <x:v>Medium</x:v>
      </x:c>
      <x:c r="K13" s="17" t="str">
        <x:v>Original Excel: Orders card has no onClick in DashboardPage.jsx.</x:v>
      </x:c>
    </x:row>
    <x:row r="14" ht="43.5" customHeight="1">
      <x:c r="A14" s="18" t="str">
        <x:v>TC-HOME-009</x:v>
      </x:c>
      <x:c r="B14" s="18" t="str">
        <x:v>Homepage</x:v>
      </x:c>
      <x:c r="C14" s="17" t="str">
        <x:v>Navbar Home Link</x:v>
      </x:c>
      <x:c r="D14" s="17" t="str">
        <x:v>User is logged in.</x:v>
      </x:c>
      <x:c r="E14" s="17" t="str">
        <x:v>1. Click Home in navbar.</x:v>
      </x:c>
      <x:c r="F14" s="17" t="str">
        <x:v>Standard QA test data</x:v>
      </x:c>
      <x:c r="G14" s="17" t="str">
        <x:v>Dashboard opens and Home link is active.</x:v>
      </x:c>
      <x:c r="H14" s="17" t="str">
        <x:v>As expected</x:v>
      </x:c>
      <x:c r="I14" s="20" t="str">
        <x:v>Pass</x:v>
      </x:c>
      <x:c r="J14" s="20" t="str">
        <x:v>Low</x:v>
      </x:c>
      <x:c r="K14" s="17" t="str">
        <x:v>Original Excel: Navbar.jsx navigates to /dashboard.</x:v>
      </x:c>
    </x:row>
    <x:row r="15" ht="43.5" customHeight="1">
      <x:c r="A15" s="18" t="str">
        <x:v>TC-HOME-010</x:v>
      </x:c>
      <x:c r="B15" s="18" t="str">
        <x:v>Homepage</x:v>
      </x:c>
      <x:c r="C15" s="17" t="str">
        <x:v>Logo Click</x:v>
      </x:c>
      <x:c r="D15" s="17" t="str">
        <x:v>User is logged in.</x:v>
      </x:c>
      <x:c r="E15" s="17" t="str">
        <x:v>1. Click Mercato logo in navbar.</x:v>
      </x:c>
      <x:c r="F15" s="17" t="str">
        <x:v>Standard QA test data</x:v>
      </x:c>
      <x:c r="G15" s="17" t="str">
        <x:v>Dashboard opens.</x:v>
      </x:c>
      <x:c r="H15" s="17" t="str">
        <x:v>As expected</x:v>
      </x:c>
      <x:c r="I15" s="20" t="str">
        <x:v>Pass</x:v>
      </x:c>
      <x:c r="J15" s="20" t="str">
        <x:v>Low</x:v>
      </x:c>
      <x:c r="K15" s="17" t="str">
        <x:v>Original Excel: Navbar logo click navigates to /dashboard.</x:v>
      </x:c>
    </x:row>
    <x:row r="16" ht="43.5" customHeight="1">
      <x:c r="A16" s="18" t="str">
        <x:v>TC-HOME-011</x:v>
      </x:c>
      <x:c r="B16" s="18" t="str">
        <x:v>Homepage</x:v>
      </x:c>
      <x:c r="C16" s="17" t="str">
        <x:v>Admin Link Hidden For User</x:v>
      </x:c>
      <x:c r="D16" s="17" t="str">
        <x:v>Logged in user role is USER.</x:v>
      </x:c>
      <x:c r="E16" s="17" t="str">
        <x:v>1. Open dashboard. 2. Check navbar.</x:v>
      </x:c>
      <x:c r="F16" s="17" t="str">
        <x:v>Standard QA test data</x:v>
      </x:c>
      <x:c r="G16" s="17" t="str">
        <x:v>Admin Panel link is not visible.</x:v>
      </x:c>
      <x:c r="H16" s="17" t="str">
        <x:v>As expected</x:v>
      </x:c>
      <x:c r="I16" s="20" t="str">
        <x:v>Pass</x:v>
      </x:c>
      <x:c r="J16" s="20" t="str">
        <x:v>Low</x:v>
      </x:c>
      <x:c r="K16" s="17" t="str">
        <x:v>Original Excel: Navbar shows Admin Panel only for ADMIN role.</x:v>
      </x:c>
    </x:row>
    <x:row r="17" ht="43.5" customHeight="1">
      <x:c r="A17" s="18" t="str">
        <x:v>TC-HOME-012</x:v>
      </x:c>
      <x:c r="B17" s="18" t="str">
        <x:v>Homepage</x:v>
      </x:c>
      <x:c r="C17" s="17" t="str">
        <x:v>Admin Link Visible For Admin</x:v>
      </x:c>
      <x:c r="D17" s="17" t="str">
        <x:v>Logged in user role is ADMIN.</x:v>
      </x:c>
      <x:c r="E17" s="17" t="str">
        <x:v>1. Open dashboard. 2. Check navbar.</x:v>
      </x:c>
      <x:c r="F17" s="17" t="str">
        <x:v>Standard QA test data</x:v>
      </x:c>
      <x:c r="G17" s="17" t="str">
        <x:v>Admin Panel link is visible.</x:v>
      </x:c>
      <x:c r="H17" s="17" t="str">
        <x:v>As expected</x:v>
      </x:c>
      <x:c r="I17" s="20" t="str">
        <x:v>Pass</x:v>
      </x:c>
      <x:c r="J17" s="20" t="str">
        <x:v>Low</x:v>
      </x:c>
      <x:c r="K17" s="17" t="str">
        <x:v>Original Excel: Navbar checks user?.role === ADMIN.</x:v>
      </x:c>
    </x:row>
    <x:row r="18" ht="43.5" customHeight="1">
      <x:c r="A18" s="18" t="str">
        <x:v>TC-HOME-013</x:v>
      </x:c>
      <x:c r="B18" s="18" t="str">
        <x:v>Homepage</x:v>
      </x:c>
      <x:c r="C18" s="17" t="str">
        <x:v>Cart Badge Count</x:v>
      </x:c>
      <x:c r="D18" s="17" t="str">
        <x:v>User has items in cart.</x:v>
      </x:c>
      <x:c r="E18" s="17" t="str">
        <x:v>1. Open dashboard. 2. Check Cart link in navbar.</x:v>
      </x:c>
      <x:c r="F18" s="17" t="str">
        <x:v>Product: Test SKU 1001; Qty: 2</x:v>
      </x:c>
      <x:c r="G18" s="17" t="str">
        <x:v>Cart badge shows item count when count is more than zero.</x:v>
      </x:c>
      <x:c r="H18" s="17" t="str">
        <x:v>As expected</x:v>
      </x:c>
      <x:c r="I18" s="20" t="str">
        <x:v>Pass</x:v>
      </x:c>
      <x:c r="J18" s="22" t="str">
        <x:v>Medium</x:v>
      </x:c>
      <x:c r="K18" s="17" t="str">
        <x:v>Original Excel: Navbar.jsx calls getCart and shows badge when cartCount &gt; 0.</x:v>
      </x:c>
    </x:row>
    <x:row r="19" ht="43.5" customHeight="1">
      <x:c r="A19" s="18" t="str">
        <x:v>TC-HOME-014</x:v>
      </x:c>
      <x:c r="B19" s="18" t="str">
        <x:v>Homepage</x:v>
      </x:c>
      <x:c r="C19" s="17" t="str">
        <x:v>Home Mobile View</x:v>
      </x:c>
      <x:c r="D19" s="17" t="str">
        <x:v>User is logged in.</x:v>
      </x:c>
      <x:c r="E19" s="17" t="str">
        <x:v>1. Open dashboard. 2. Resize screen below 800px.</x:v>
      </x:c>
      <x:c r="F19" s="17" t="str">
        <x:v>Standard QA test data</x:v>
      </x:c>
      <x:c r="G19" s="17" t="str">
        <x:v>Cards show in one column and heading becomes smaller.</x:v>
      </x:c>
      <x:c r="H19" s="17" t="str">
        <x:v>As expected</x:v>
      </x:c>
      <x:c r="I19" s="20" t="str">
        <x:v>Pass</x:v>
      </x:c>
      <x:c r="J19" s="20" t="str">
        <x:v>Low</x:v>
      </x:c>
      <x:c r="K19" s="17" t="str">
        <x:v>Original Excel: dashboard.module.css has max-width 800px media query.</x:v>
      </x:c>
    </x:row>
    <x:row r="20" ht="43.5" customHeight="1">
      <x:c r="A20" s="18" t="str">
        <x:v>TC-HOME-015</x:v>
      </x:c>
      <x:c r="B20" s="18" t="str">
        <x:v>Homepage</x:v>
      </x:c>
      <x:c r="C20" s="17" t="str">
        <x:v>Footer Text</x:v>
      </x:c>
      <x:c r="D20" s="17" t="str">
        <x:v>User is logged in.</x:v>
      </x:c>
      <x:c r="E20" s="17" t="str">
        <x:v>1. Open dashboard. 2. Scroll to footer.</x:v>
      </x:c>
      <x:c r="F20" s="17" t="str">
        <x:v>Standard QA test data</x:v>
      </x:c>
      <x:c r="G20" s="17" t="str">
        <x:v>Footer is visible. Brand text currently shows ShopApp.</x:v>
      </x:c>
      <x:c r="H20" s="17" t="str"/>
      <x:c r="I20" s="24" t="str">
        <x:v>Failed</x:v>
      </x:c>
      <x:c r="J20" s="20" t="str">
        <x:v>Low</x:v>
      </x:c>
      <x:c r="K20" s="17" t="str">
        <x:v>Original Excel: Footer.jsx has ShopApp while app branding is Mercato.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8c90eec26643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0" hidden="0" customWidth="1"/>
    <x:col min="5" max="5" width="44" hidden="0" customWidth="1"/>
    <x:col min="6" max="6" width="28" hidden="0" customWidth="1"/>
    <x:col min="7" max="7" width="40" hidden="0" customWidth="1"/>
    <x:col min="8" max="8" width="24" hidden="0" customWidth="1"/>
    <x:col min="9" max="9" width="13" hidden="0" customWidth="1"/>
    <x:col min="10" max="10" width="12" hidden="0" customWidth="1"/>
    <x:col min="11" max="11" width="34" hidden="0" customWidth="1"/>
  </x:cols>
  <x:sheetData>
    <x:row r="1" ht="27" customHeight="1">
      <x:c r="A1" s="4" t="str">
        <x:v>Ecommerce QA Test Cases - Authentication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Project</x:v>
      </x:c>
      <x:c r="B2" s="7" t="str">
        <x:v>Ecommerce Fullstack QA</x:v>
      </x:c>
      <x:c r="C2" s="7" t="str"/>
      <x:c r="D2" s="8" t="str">
        <x:v>Module</x:v>
      </x:c>
      <x:c r="E2" s="7" t="str">
        <x:v>Authentication</x:v>
      </x:c>
      <x:c r="F2" s="7" t="str"/>
      <x:c r="G2" s="8" t="str">
        <x:v>Prepared For</x:v>
      </x:c>
      <x:c r="H2" s="7" t="str">
        <x:v>Interview / Portfolio / Real QA Usage</x:v>
      </x:c>
      <x:c r="I2" s="7" t="str"/>
      <x:c r="J2" s="8" t="str">
        <x:v>Updated</x:v>
      </x:c>
      <x:c r="K2" s="9" t="n">
        <x:v>46170.693773425926</x:v>
      </x:c>
    </x:row>
    <x:row r="3">
      <x:c r="A3" s="8" t="str">
        <x:v>Format</x:v>
      </x:c>
      <x:c r="B3" s="7" t="str">
        <x:v>QA Industry Standard</x:v>
      </x:c>
      <x:c r="C3" s="7" t="str"/>
      <x:c r="D3" s="8" t="str">
        <x:v>Execution</x:v>
      </x:c>
      <x:c r="E3" s="7" t="str">
        <x:v>Manual + Automation Ready</x:v>
      </x:c>
      <x:c r="F3" s="7" t="str"/>
      <x:c r="G3" s="8" t="str">
        <x:v>Legend</x:v>
      </x:c>
      <x:c r="H3" s="7" t="str">
        <x:v>Priority and status are color-coded</x:v>
      </x:c>
      <x:c r="I3" s="7" t="str"/>
      <x:c r="J3" s="8" t="str">
        <x:v>Owner</x:v>
      </x:c>
      <x:c r="K3" s="7" t="str">
        <x:v>QA Team</x:v>
      </x:c>
    </x:row>
    <x:row r="5" ht="24" customHeight="1">
      <x:c r="A5" s="14" t="str">
        <x:v>Test Case ID</x:v>
      </x:c>
      <x:c r="B5" s="14" t="str">
        <x:v>Module</x:v>
      </x:c>
      <x:c r="C5" s="14" t="str">
        <x:v>Test Scenario</x:v>
      </x:c>
      <x:c r="D5" s="14" t="str">
        <x:v>Preconditions</x:v>
      </x:c>
      <x:c r="E5" s="14" t="str">
        <x:v>Test Steps</x:v>
      </x:c>
      <x:c r="F5" s="14" t="str">
        <x:v>Test Data</x:v>
      </x:c>
      <x:c r="G5" s="14" t="str">
        <x:v>Expected Result</x:v>
      </x:c>
      <x:c r="H5" s="14" t="str">
        <x:v>Actual Result</x:v>
      </x:c>
      <x:c r="I5" s="14" t="str">
        <x:v>Status</x:v>
      </x:c>
      <x:c r="J5" s="14" t="str">
        <x:v>Priority</x:v>
      </x:c>
      <x:c r="K5" s="14" t="str">
        <x:v>Remarks</x:v>
      </x:c>
    </x:row>
    <x:row r="6" ht="43.5" customHeight="1">
      <x:c r="A6" s="18" t="str">
        <x:v>TC-AUTH-001</x:v>
      </x:c>
      <x:c r="B6" s="18" t="str">
        <x:v>Authentication</x:v>
      </x:c>
      <x:c r="C6" s="17" t="str">
        <x:v>Login validation with valid credentials</x:v>
      </x:c>
      <x:c r="D6" s="17" t="str">
        <x:v>Registered user exists</x:v>
      </x:c>
      <x:c r="E6" s="17" t="str">
        <x:v>1. Open login page. 2. Enter valid email/password. 3. Click Login.</x:v>
      </x:c>
      <x:c r="F6" s="17" t="str">
        <x:v>qa.user@example.com / Valid@123</x:v>
      </x:c>
      <x:c r="G6" s="17" t="str">
        <x:v>User logs in and is redirected to the expected page.</x:v>
      </x:c>
      <x:c r="H6" s="17" t="str">
        <x:v>As expected</x:v>
      </x:c>
      <x:c r="I6" s="20" t="str">
        <x:v>Pass</x:v>
      </x:c>
      <x:c r="J6" s="24" t="str">
        <x:v>High</x:v>
      </x:c>
      <x:c r="K6" s="17" t="str">
        <x:v>Requested sample.</x:v>
      </x:c>
    </x:row>
    <x:row r="7" ht="43.5" customHeight="1">
      <x:c r="A7" s="18" t="str">
        <x:v>TC-AUTH-002</x:v>
      </x:c>
      <x:c r="B7" s="18" t="str">
        <x:v>Authentication</x:v>
      </x:c>
      <x:c r="C7" s="17" t="str">
        <x:v>Login validation with invalid credentials</x:v>
      </x:c>
      <x:c r="D7" s="17" t="str">
        <x:v>Registered user exists</x:v>
      </x:c>
      <x:c r="E7" s="17" t="str">
        <x:v>1. Open login page. 2. Enter valid email and wrong password. 3. Click Login.</x:v>
      </x:c>
      <x:c r="F7" s="17" t="str">
        <x:v>qa.user@example.com / Wrong@123</x:v>
      </x:c>
      <x:c r="G7" s="17" t="str">
        <x:v>System shows validation error and does not create a session.</x:v>
      </x:c>
      <x:c r="H7" s="17" t="str">
        <x:v>As expected</x:v>
      </x:c>
      <x:c r="I7" s="20" t="str">
        <x:v>Pass</x:v>
      </x:c>
      <x:c r="J7" s="24" t="str">
        <x:v>High</x:v>
      </x:c>
      <x:c r="K7" s="17" t="str">
        <x:v>Negative auth flow.</x:v>
      </x:c>
    </x:row>
    <x:row r="8" ht="43.5" customHeight="1">
      <x:c r="A8" s="18" t="str">
        <x:v>TC-AUTH-003</x:v>
      </x:c>
      <x:c r="B8" s="18" t="str">
        <x:v>Authentication</x:v>
      </x:c>
      <x:c r="C8" s="17" t="str">
        <x:v>Signup validation with valid data</x:v>
      </x:c>
      <x:c r="D8" s="17" t="str">
        <x:v>Guest user is on signup page</x:v>
      </x:c>
      <x:c r="E8" s="17" t="str">
        <x:v>1. Enter name, email, password, confirm password. 2. Submit.</x:v>
      </x:c>
      <x:c r="F8" s="17" t="str">
        <x:v>QA User / unique.qa@example.com / Valid@123</x:v>
      </x:c>
      <x:c r="G8" s="17" t="str">
        <x:v>Account is created successfully.</x:v>
      </x:c>
      <x:c r="H8" s="17" t="str">
        <x:v>As expected</x:v>
      </x:c>
      <x:c r="I8" s="20" t="str">
        <x:v>Pass</x:v>
      </x:c>
      <x:c r="J8" s="24" t="str">
        <x:v>High</x:v>
      </x:c>
      <x:c r="K8" s="17" t="str">
        <x:v>Requested sample.</x:v>
      </x:c>
    </x:row>
    <x:row r="9" ht="43.5" customHeight="1">
      <x:c r="A9" s="18" t="str">
        <x:v>TC-AUTH-004</x:v>
      </x:c>
      <x:c r="B9" s="18" t="str">
        <x:v>Authentication</x:v>
      </x:c>
      <x:c r="C9" s="17" t="str">
        <x:v>Signup validation with duplicate email</x:v>
      </x:c>
      <x:c r="D9" s="17" t="str">
        <x:v>Email already exists</x:v>
      </x:c>
      <x:c r="E9" s="17" t="str">
        <x:v>1. Enter existing email. 2. Submit signup form.</x:v>
      </x:c>
      <x:c r="F9" s="17" t="str">
        <x:v>existing.user@example.com</x:v>
      </x:c>
      <x:c r="G9" s="17" t="str">
        <x:v>Duplicate email message appears and account is not created.</x:v>
      </x:c>
      <x:c r="H9" s="17" t="str">
        <x:v>As expected</x:v>
      </x:c>
      <x:c r="I9" s="20" t="str">
        <x:v>Pass</x:v>
      </x:c>
      <x:c r="J9" s="24" t="str">
        <x:v>High</x:v>
      </x:c>
      <x:c r="K9" s="17" t="str">
        <x:v>Requested sample.</x:v>
      </x:c>
    </x:row>
    <x:row r="10" ht="43.5" customHeight="1">
      <x:c r="A10" s="18" t="str">
        <x:v>TC-AUTH-005</x:v>
      </x:c>
      <x:c r="B10" s="18" t="str">
        <x:v>Authentication</x:v>
      </x:c>
      <x:c r="C10" s="17" t="str">
        <x:v>Forgot password flow</x:v>
      </x:c>
      <x:c r="D10" s="17" t="str">
        <x:v>Registered email exists</x:v>
      </x:c>
      <x:c r="E10" s="17" t="str">
        <x:v>1. Open forgot password. 2. Enter email. 3. Submit request.</x:v>
      </x:c>
      <x:c r="F10" s="17" t="str">
        <x:v>qa.user@example.com</x:v>
      </x:c>
      <x:c r="G10" s="17" t="str">
        <x:v>Reset confirmation is shown or reset email is sent.</x:v>
      </x:c>
      <x:c r="H10" s="17" t="str"/>
      <x:c r="I10" s="22" t="str">
        <x:v>Pending</x:v>
      </x:c>
      <x:c r="J10" s="24" t="str">
        <x:v>High</x:v>
      </x:c>
      <x:c r="K10" s="17" t="str">
        <x:v>Requested sample.</x:v>
      </x:c>
    </x:row>
    <x:row r="11" ht="43.5" customHeight="1">
      <x:c r="A11" s="18" t="str">
        <x:v>TC-AUTH-006</x:v>
      </x:c>
      <x:c r="B11" s="18" t="str">
        <x:v>Authentication</x:v>
      </x:c>
      <x:c r="C11" s="17" t="str">
        <x:v>Logout validation</x:v>
      </x:c>
      <x:c r="D11" s="17" t="str">
        <x:v>User is logged in</x:v>
      </x:c>
      <x:c r="E11" s="17" t="str">
        <x:v>1. Click Logout. 2. Try to open a protected page.</x:v>
      </x:c>
      <x:c r="F11" s="17" t="str">
        <x:v>Protected page: Profile</x:v>
      </x:c>
      <x:c r="G11" s="17" t="str">
        <x:v>Session is cleared and protected page redirects to login.</x:v>
      </x:c>
      <x:c r="H11" s="17" t="str">
        <x:v>As expected</x:v>
      </x:c>
      <x:c r="I11" s="20" t="str">
        <x:v>Pass</x:v>
      </x:c>
      <x:c r="J11" s="24" t="str">
        <x:v>High</x:v>
      </x:c>
      <x:c r="K11" s="17" t="str">
        <x:v>Authentication module.</x:v>
      </x:c>
    </x:row>
    <x:row r="12" ht="43.5" customHeight="1">
      <x:c r="A12" s="18" t="str">
        <x:v>TC-AUTH-007</x:v>
      </x:c>
      <x:c r="B12" s="18" t="str">
        <x:v>Authentication</x:v>
      </x:c>
      <x:c r="C12" s="17" t="str">
        <x:v>Session timeout validation</x:v>
      </x:c>
      <x:c r="D12" s="17" t="str">
        <x:v>User is logged in and idle timeout is configured</x:v>
      </x:c>
      <x:c r="E12" s="17" t="str">
        <x:v>1. Stay idle until timeout. 2. Perform protected action.</x:v>
      </x:c>
      <x:c r="F12" s="17" t="str">
        <x:v>Configured idle threshold</x:v>
      </x:c>
      <x:c r="G12" s="17" t="str">
        <x:v>User is logged out or asked to re-authenticate.</x:v>
      </x:c>
      <x:c r="H12" s="17" t="str"/>
      <x:c r="I12" s="22" t="str">
        <x:v>Pending</x:v>
      </x:c>
      <x:c r="J12" s="24" t="str">
        <x:v>High</x:v>
      </x:c>
      <x:c r="K12" s="17" t="str">
        <x:v>Requested sample.</x:v>
      </x:c>
    </x:row>
    <x:row r="13" ht="43.5" customHeight="1">
      <x:c r="A13" s="18" t="str">
        <x:v>TC-AUTH-008</x:v>
      </x:c>
      <x:c r="B13" s="18" t="str">
        <x:v>Authentication</x:v>
      </x:c>
      <x:c r="C13" s="17" t="str">
        <x:v>User Registration</x:v>
      </x:c>
      <x:c r="D13" s="17" t="str">
        <x:v>A unique email not already used.</x:v>
      </x:c>
      <x:c r="E13" s="17" t="str">
        <x:v>1. Open register page. 2. Enter name, email, and password. 3. Click Create account.</x:v>
      </x:c>
      <x:c r="F13" s="17" t="str">
        <x:v>Standard QA test data</x:v>
      </x:c>
      <x:c r="G13" s="17" t="str">
        <x:v>Account is created and user goes to dashboard.</x:v>
      </x:c>
      <x:c r="H13" s="17" t="str">
        <x:v>As expected</x:v>
      </x:c>
      <x:c r="I13" s="20" t="str">
        <x:v>Pass</x:v>
      </x:c>
      <x:c r="J13" s="24" t="str">
        <x:v>High</x:v>
      </x:c>
      <x:c r="K13" s="17" t="str">
        <x:v>Original Excel: RegisterPage.jsx uses POST /api/auth/register.</x:v>
      </x:c>
    </x:row>
    <x:row r="14" ht="43.5" customHeight="1">
      <x:c r="A14" s="18" t="str">
        <x:v>TC-AUTH-009</x:v>
      </x:c>
      <x:c r="B14" s="18" t="str">
        <x:v>Authentication</x:v>
      </x:c>
      <x:c r="C14" s="17" t="str">
        <x:v>Register With Empty Name</x:v>
      </x:c>
      <x:c r="D14" s="17" t="str">
        <x:v>None.</x:v>
      </x:c>
      <x:c r="E14" s="17" t="str">
        <x:v>1. Open register page. 2. Leave name empty. 3. Fill email and password. 4. Click Create account.</x:v>
      </x:c>
      <x:c r="F14" s="17" t="str">
        <x:v>Name: QA User; Email: unique.qa@example.com; Password: Valid@123</x:v>
      </x:c>
      <x:c r="G14" s="17" t="str">
        <x:v>Name is required message is shown.</x:v>
      </x:c>
      <x:c r="H14" s="17" t="str">
        <x:v>As expected</x:v>
      </x:c>
      <x:c r="I14" s="20" t="str">
        <x:v>Pass</x:v>
      </x:c>
      <x:c r="J14" s="20" t="str">
        <x:v>Low</x:v>
      </x:c>
      <x:c r="K14" s="17" t="str">
        <x:v>Original Excel: RegisterRequest has @NotBlank on name.</x:v>
      </x:c>
    </x:row>
    <x:row r="15" ht="43.5" customHeight="1">
      <x:c r="A15" s="18" t="str">
        <x:v>TC-AUTH-010</x:v>
      </x:c>
      <x:c r="B15" s="18" t="str">
        <x:v>Authentication</x:v>
      </x:c>
      <x:c r="C15" s="17" t="str">
        <x:v>Register With Empty Email</x:v>
      </x:c>
      <x:c r="D15" s="17" t="str">
        <x:v>None.</x:v>
      </x:c>
      <x:c r="E15" s="17" t="str">
        <x:v>1. Open register page. 2. Fill name and password. 3. Leave email empty. 4. Click Create account.</x:v>
      </x:c>
      <x:c r="F15" s="17" t="str">
        <x:v>Name: QA User; Email: unique.qa@example.com; Password: Valid@123</x:v>
      </x:c>
      <x:c r="G15" s="17" t="str">
        <x:v>Email is required message is shown.</x:v>
      </x:c>
      <x:c r="H15" s="17" t="str">
        <x:v>As expected</x:v>
      </x:c>
      <x:c r="I15" s="20" t="str">
        <x:v>Pass</x:v>
      </x:c>
      <x:c r="J15" s="20" t="str">
        <x:v>Low</x:v>
      </x:c>
      <x:c r="K15" s="17" t="str">
        <x:v>Original Excel: RegisterRequest has @NotBlank on email.</x:v>
      </x:c>
    </x:row>
    <x:row r="16" ht="43.5" customHeight="1">
      <x:c r="A16" s="18" t="str">
        <x:v>TC-AUTH-011</x:v>
      </x:c>
      <x:c r="B16" s="18" t="str">
        <x:v>Authentication</x:v>
      </x:c>
      <x:c r="C16" s="17" t="str">
        <x:v>Register With Invalid Email</x:v>
      </x:c>
      <x:c r="D16" s="17" t="str">
        <x:v>None.</x:v>
      </x:c>
      <x:c r="E16" s="17" t="str">
        <x:v>1. Open register page. 2. Enter abc as email. 3. Fill other fields. 4. Submit.</x:v>
      </x:c>
      <x:c r="F16" s="17" t="str">
        <x:v>Email: abc</x:v>
      </x:c>
      <x:c r="G16" s="17" t="str">
        <x:v>Email must be valid message is shown.</x:v>
      </x:c>
      <x:c r="H16" s="17" t="str">
        <x:v>As expected</x:v>
      </x:c>
      <x:c r="I16" s="20" t="str">
        <x:v>Pass</x:v>
      </x:c>
      <x:c r="J16" s="20" t="str">
        <x:v>Low</x:v>
      </x:c>
      <x:c r="K16" s="17" t="str">
        <x:v>Original Excel: RegisterRequest has @Email validation.</x:v>
      </x:c>
    </x:row>
    <x:row r="17" ht="43.5" customHeight="1">
      <x:c r="A17" s="18" t="str">
        <x:v>TC-AUTH-012</x:v>
      </x:c>
      <x:c r="B17" s="18" t="str">
        <x:v>Authentication</x:v>
      </x:c>
      <x:c r="C17" s="17" t="str">
        <x:v>Register With Short Password</x:v>
      </x:c>
      <x:c r="D17" s="17" t="str">
        <x:v>None.</x:v>
      </x:c>
      <x:c r="E17" s="17" t="str">
        <x:v>1. Open register page. 2. Enter password less than 6 characters. 3. Submit.</x:v>
      </x:c>
      <x:c r="F17" s="17" t="str">
        <x:v>Password: 12345</x:v>
      </x:c>
      <x:c r="G17" s="17" t="str">
        <x:v>Password must be at least 6 characters message is shown.</x:v>
      </x:c>
      <x:c r="H17" s="17" t="str">
        <x:v>As expected</x:v>
      </x:c>
      <x:c r="I17" s="20" t="str">
        <x:v>Pass</x:v>
      </x:c>
      <x:c r="J17" s="24" t="str">
        <x:v>High</x:v>
      </x:c>
      <x:c r="K17" s="17" t="str">
        <x:v>Original Excel: RegisterRequest has @Size(min = 6).</x:v>
      </x:c>
    </x:row>
    <x:row r="18" ht="43.5" customHeight="1">
      <x:c r="A18" s="18" t="str">
        <x:v>TC-AUTH-013</x:v>
      </x:c>
      <x:c r="B18" s="18" t="str">
        <x:v>Authentication</x:v>
      </x:c>
      <x:c r="C18" s="17" t="str">
        <x:v>Register With Duplicate Email</x:v>
      </x:c>
      <x:c r="D18" s="17" t="str">
        <x:v>A user already exists with same email.</x:v>
      </x:c>
      <x:c r="E18" s="17" t="str">
        <x:v>1. Open register page. 2. Enter existing email. 3. Submit form.</x:v>
      </x:c>
      <x:c r="F18" s="17" t="str">
        <x:v>Email: existing.user@example.com</x:v>
      </x:c>
      <x:c r="G18" s="17" t="str">
        <x:v>Email already in use error is shown.</x:v>
      </x:c>
      <x:c r="H18" s="17" t="str">
        <x:v>As expected</x:v>
      </x:c>
      <x:c r="I18" s="20" t="str">
        <x:v>Pass</x:v>
      </x:c>
      <x:c r="J18" s="20" t="str">
        <x:v>Low</x:v>
      </x:c>
      <x:c r="K18" s="17" t="str">
        <x:v>Original Excel: AuthServiceImpl.register checks UserRepository.findByEmail.</x:v>
      </x:c>
    </x:row>
    <x:row r="19" ht="43.5" customHeight="1">
      <x:c r="A19" s="18" t="str">
        <x:v>TC-AUTH-014</x:v>
      </x:c>
      <x:c r="B19" s="18" t="str">
        <x:v>Authentication</x:v>
      </x:c>
      <x:c r="C19" s="17" t="str">
        <x:v>Password Saved As Hash</x:v>
      </x:c>
      <x:c r="D19" s="17" t="str">
        <x:v>A user is registered.</x:v>
      </x:c>
      <x:c r="E19" s="17" t="str">
        <x:v>1. Open MySQL Workbench. 2. Run select query on users table. 3. Check password column.</x:v>
      </x:c>
      <x:c r="F19" s="17" t="str">
        <x:v>Standard QA test data</x:v>
      </x:c>
      <x:c r="G19" s="17" t="str">
        <x:v>Password is saved as BCrypt hash.</x:v>
      </x:c>
      <x:c r="H19" s="17" t="str">
        <x:v>As expected</x:v>
      </x:c>
      <x:c r="I19" s="20" t="str">
        <x:v>Pass</x:v>
      </x:c>
      <x:c r="J19" s="24" t="str">
        <x:v>High</x:v>
      </x:c>
      <x:c r="K19" s="17" t="str">
        <x:v>Original Excel: SecurityConfig uses BCryptPasswordEncoder.</x:v>
      </x:c>
    </x:row>
    <x:row r="20" ht="43.5" customHeight="1">
      <x:c r="A20" s="18" t="str">
        <x:v>TC-AUTH-015</x:v>
      </x:c>
      <x:c r="B20" s="18" t="str">
        <x:v>Authentication</x:v>
      </x:c>
      <x:c r="C20" s="17" t="str">
        <x:v>User Login</x:v>
      </x:c>
      <x:c r="D20" s="17" t="str">
        <x:v>A registered user exists.</x:v>
      </x:c>
      <x:c r="E20" s="17" t="str">
        <x:v>1. Open login page. 2. Enter correct email and password. 3. Click Continue.</x:v>
      </x:c>
      <x:c r="F20" s="17" t="str">
        <x:v>Email: qa.user@example.com; Password: Valid@123</x:v>
      </x:c>
      <x:c r="G20" s="17" t="str">
        <x:v>Login succeeds and user goes to dashboard.</x:v>
      </x:c>
      <x:c r="H20" s="17" t="str">
        <x:v>As expected</x:v>
      </x:c>
      <x:c r="I20" s="20" t="str">
        <x:v>Pass</x:v>
      </x:c>
      <x:c r="J20" s="24" t="str">
        <x:v>High</x:v>
      </x:c>
      <x:c r="K20" s="17" t="str">
        <x:v>Original Excel: LoginPage.jsx calls /api/auth/login.</x:v>
      </x:c>
    </x:row>
    <x:row r="21" ht="43.5" customHeight="1">
      <x:c r="A21" s="18" t="str">
        <x:v>TC-AUTH-016</x:v>
      </x:c>
      <x:c r="B21" s="18" t="str">
        <x:v>Authentication</x:v>
      </x:c>
      <x:c r="C21" s="17" t="str">
        <x:v>Login With Wrong Password</x:v>
      </x:c>
      <x:c r="D21" s="17" t="str">
        <x:v>A registered user exists.</x:v>
      </x:c>
      <x:c r="E21" s="17" t="str">
        <x:v>1. Open login page. 2. Enter valid email. 3. Type wrong password. 4. Click Continue.</x:v>
      </x:c>
      <x:c r="F21" s="17" t="str">
        <x:v>Email: qa.user@example.com; Password: Valid@123</x:v>
      </x:c>
      <x:c r="G21" s="17" t="str">
        <x:v>Login fails and error is shown.</x:v>
      </x:c>
      <x:c r="H21" s="17" t="str">
        <x:v>As expected</x:v>
      </x:c>
      <x:c r="I21" s="20" t="str">
        <x:v>Pass</x:v>
      </x:c>
      <x:c r="J21" s="24" t="str">
        <x:v>High</x:v>
      </x:c>
      <x:c r="K21" s="17" t="str">
        <x:v>Original Excel: AuthServiceImpl.login uses AuthenticationManager.</x:v>
      </x:c>
    </x:row>
    <x:row r="22" ht="43.5" customHeight="1">
      <x:c r="A22" s="18" t="str">
        <x:v>TC-AUTH-017</x:v>
      </x:c>
      <x:c r="B22" s="18" t="str">
        <x:v>Authentication</x:v>
      </x:c>
      <x:c r="C22" s="17" t="str">
        <x:v>Login With Empty Email</x:v>
      </x:c>
      <x:c r="D22" s="17" t="str">
        <x:v>None.</x:v>
      </x:c>
      <x:c r="E22" s="17" t="str">
        <x:v>1. Open login page. 2. Leave email blank. 3. Enter password. 4. Submit.</x:v>
      </x:c>
      <x:c r="F22" s="17" t="str">
        <x:v>Email: qa.user@example.com; Password: Valid@123</x:v>
      </x:c>
      <x:c r="G22" s="17" t="str">
        <x:v>Email is required message is shown.</x:v>
      </x:c>
      <x:c r="H22" s="17" t="str">
        <x:v>As expected</x:v>
      </x:c>
      <x:c r="I22" s="20" t="str">
        <x:v>Pass</x:v>
      </x:c>
      <x:c r="J22" s="24" t="str">
        <x:v>High</x:v>
      </x:c>
      <x:c r="K22" s="17" t="str">
        <x:v>Original Excel: LoginRequest has @NotBlank on email.</x:v>
      </x:c>
    </x:row>
    <x:row r="23" ht="43.5" customHeight="1">
      <x:c r="A23" s="18" t="str">
        <x:v>TC-AUTH-018</x:v>
      </x:c>
      <x:c r="B23" s="18" t="str">
        <x:v>Authentication</x:v>
      </x:c>
      <x:c r="C23" s="17" t="str">
        <x:v>Login With Empty Password</x:v>
      </x:c>
      <x:c r="D23" s="17" t="str">
        <x:v>None.</x:v>
      </x:c>
      <x:c r="E23" s="17" t="str">
        <x:v>1. Open login page. 2. Enter email. 3. Leave password blank. 4. Submit.</x:v>
      </x:c>
      <x:c r="F23" s="17" t="str">
        <x:v>Email: qa.user@example.com; Password: Valid@123</x:v>
      </x:c>
      <x:c r="G23" s="17" t="str">
        <x:v>Password is required message is shown.</x:v>
      </x:c>
      <x:c r="H23" s="17" t="str">
        <x:v>As expected</x:v>
      </x:c>
      <x:c r="I23" s="20" t="str">
        <x:v>Pass</x:v>
      </x:c>
      <x:c r="J23" s="24" t="str">
        <x:v>High</x:v>
      </x:c>
      <x:c r="K23" s="17" t="str">
        <x:v>Original Excel: LoginRequest has @NotBlank on password.</x:v>
      </x:c>
    </x:row>
    <x:row r="24" ht="43.5" customHeight="1">
      <x:c r="A24" s="18" t="str">
        <x:v>TC-AUTH-019</x:v>
      </x:c>
      <x:c r="B24" s="18" t="str">
        <x:v>Authentication</x:v>
      </x:c>
      <x:c r="C24" s="17" t="str">
        <x:v>Login With Invalid Email Format</x:v>
      </x:c>
      <x:c r="D24" s="17" t="str">
        <x:v>None.</x:v>
      </x:c>
      <x:c r="E24" s="17" t="str">
        <x:v>1. Open login page. 2. Enter abc in email field. 3. Enter password. 4. Submit.</x:v>
      </x:c>
      <x:c r="F24" s="17" t="str">
        <x:v>Email: abc</x:v>
      </x:c>
      <x:c r="G24" s="17" t="str">
        <x:v>Email must be valid message is shown or browser blocks submit.</x:v>
      </x:c>
      <x:c r="H24" s="17" t="str">
        <x:v>As expected</x:v>
      </x:c>
      <x:c r="I24" s="20" t="str">
        <x:v>Pass</x:v>
      </x:c>
      <x:c r="J24" s="24" t="str">
        <x:v>High</x:v>
      </x:c>
      <x:c r="K24" s="17" t="str">
        <x:v>Original Excel: LoginRequest has @Email and input type is email.</x:v>
      </x:c>
    </x:row>
    <x:row r="25" ht="43.5" customHeight="1">
      <x:c r="A25" s="18" t="str">
        <x:v>TC-AUTH-020</x:v>
      </x:c>
      <x:c r="B25" s="18" t="str">
        <x:v>Authentication</x:v>
      </x:c>
      <x:c r="C25" s="17" t="str">
        <x:v>Login Backend Down</x:v>
      </x:c>
      <x:c r="D25" s="17" t="str">
        <x:v>Backend server is stopped.</x:v>
      </x:c>
      <x:c r="E25" s="17" t="str">
        <x:v>1. Open login page. 2. Enter any details. 3. Click Continue.</x:v>
      </x:c>
      <x:c r="F25" s="17" t="str">
        <x:v>Email: qa.user@example.com; Password: Valid@123</x:v>
      </x:c>
      <x:c r="G25" s="17" t="str">
        <x:v>Backend server is not running on port 8081 message is shown.</x:v>
      </x:c>
      <x:c r="H25" s="17" t="str">
        <x:v>As expected</x:v>
      </x:c>
      <x:c r="I25" s="20" t="str">
        <x:v>Pass</x:v>
      </x:c>
      <x:c r="J25" s="24" t="str">
        <x:v>High</x:v>
      </x:c>
      <x:c r="K25" s="17" t="str">
        <x:v>Original Excel: LoginPage.jsx handles missing err.response.</x:v>
      </x:c>
    </x:row>
    <x:row r="26" ht="43.5" customHeight="1">
      <x:c r="A26" s="18" t="str">
        <x:v>TC-AUTH-021</x:v>
      </x:c>
      <x:c r="B26" s="18" t="str">
        <x:v>Authentication</x:v>
      </x:c>
      <x:c r="C26" s="17" t="str">
        <x:v>Session Persistence</x:v>
      </x:c>
      <x:c r="D26" s="17" t="str">
        <x:v>User is logged in.</x:v>
      </x:c>
      <x:c r="E26" s="17" t="str">
        <x:v>1. Open dashboard. 2. Refresh browser.</x:v>
      </x:c>
      <x:c r="F26" s="17" t="str">
        <x:v>Standard QA test data</x:v>
      </x:c>
      <x:c r="G26" s="17" t="str">
        <x:v>User stays logged in and dashboard opens again.</x:v>
      </x:c>
      <x:c r="H26" s="17" t="str">
        <x:v>As expected</x:v>
      </x:c>
      <x:c r="I26" s="20" t="str">
        <x:v>Pass</x:v>
      </x:c>
      <x:c r="J26" s="24" t="str">
        <x:v>High</x:v>
      </x:c>
      <x:c r="K26" s="17" t="str">
        <x:v>Original Excel: AuthContext checks token using GET /auth/me.</x:v>
      </x:c>
    </x:row>
    <x:row r="27" ht="43.5" customHeight="1">
      <x:c r="A27" s="18" t="str">
        <x:v>TC-AUTH-022</x:v>
      </x:c>
      <x:c r="B27" s="18" t="str">
        <x:v>Authentication</x:v>
      </x:c>
      <x:c r="C27" s="17" t="str">
        <x:v>Invalid Token Logout</x:v>
      </x:c>
      <x:c r="D27" s="17" t="str">
        <x:v>Invalid token is stored in localStorage.</x:v>
      </x:c>
      <x:c r="E27" s="17" t="str">
        <x:v>1. Add wrong token in localStorage. 2. Refresh app or open protected page.</x:v>
      </x:c>
      <x:c r="F27" s="17" t="str">
        <x:v>Standard QA test data</x:v>
      </x:c>
      <x:c r="G27" s="17" t="str">
        <x:v>User is redirected to login and storage is cleared.</x:v>
      </x:c>
      <x:c r="H27" s="17" t="str">
        <x:v>As expected</x:v>
      </x:c>
      <x:c r="I27" s="20" t="str">
        <x:v>Pass</x:v>
      </x:c>
      <x:c r="J27" s="24" t="str">
        <x:v>High</x:v>
      </x:c>
      <x:c r="K27" s="17" t="str">
        <x:v>Original Excel: axiosInstance handles 401 globally.</x:v>
      </x:c>
    </x:row>
    <x:row r="28" ht="43.5" customHeight="1">
      <x:c r="A28" s="18" t="str">
        <x:v>TC-AUTH-023</x:v>
      </x:c>
      <x:c r="B28" s="18" t="str">
        <x:v>Authentication</x:v>
      </x:c>
      <x:c r="C28" s="17" t="str">
        <x:v>JWT Sent In Header</x:v>
      </x:c>
      <x:c r="D28" s="17" t="str">
        <x:v>User is logged in.</x:v>
      </x:c>
      <x:c r="E28" s="17" t="str">
        <x:v>1. Open profile page. 2. Check network request headers.</x:v>
      </x:c>
      <x:c r="F28" s="17" t="str">
        <x:v>Standard QA test data</x:v>
      </x:c>
      <x:c r="G28" s="17" t="str">
        <x:v>Authorization header contains Bearer token.</x:v>
      </x:c>
      <x:c r="H28" s="17" t="str">
        <x:v>As expected</x:v>
      </x:c>
      <x:c r="I28" s="20" t="str">
        <x:v>Pass</x:v>
      </x:c>
      <x:c r="J28" s="20" t="str">
        <x:v>Low</x:v>
      </x:c>
      <x:c r="K28" s="17" t="str">
        <x:v>Original Excel: axiosInstance request interceptor adds token.</x:v>
      </x:c>
    </x:row>
    <x:row r="29" ht="43.5" customHeight="1">
      <x:c r="A29" s="18" t="str">
        <x:v>TC-AUTH-024</x:v>
      </x:c>
      <x:c r="B29" s="18" t="str">
        <x:v>Authentication</x:v>
      </x:c>
      <x:c r="C29" s="17" t="str">
        <x:v>Open Dashboard Without Login</x:v>
      </x:c>
      <x:c r="D29" s="17" t="str">
        <x:v>User is logged out.</x:v>
      </x:c>
      <x:c r="E29" s="17" t="str">
        <x:v>1. Directly open /dashboard.</x:v>
      </x:c>
      <x:c r="F29" s="17" t="str">
        <x:v>Email: qa.user@example.com; Password: Valid@123</x:v>
      </x:c>
      <x:c r="G29" s="17" t="str">
        <x:v>User is sent to /login.</x:v>
      </x:c>
      <x:c r="H29" s="17" t="str">
        <x:v>As expected</x:v>
      </x:c>
      <x:c r="I29" s="20" t="str">
        <x:v>Pass</x:v>
      </x:c>
      <x:c r="J29" s="24" t="str">
        <x:v>High</x:v>
      </x:c>
      <x:c r="K29" s="17" t="str">
        <x:v>Original Excel: ProtectedRoute checks user from AuthContext.</x:v>
      </x:c>
    </x:row>
    <x:row r="30" ht="43.5" customHeight="1">
      <x:c r="A30" s="18" t="str">
        <x:v>TC-AUTH-025</x:v>
      </x:c>
      <x:c r="B30" s="18" t="str">
        <x:v>Authentication</x:v>
      </x:c>
      <x:c r="C30" s="17" t="str">
        <x:v>Open Profile Without Login</x:v>
      </x:c>
      <x:c r="D30" s="17" t="str">
        <x:v>User is logged out.</x:v>
      </x:c>
      <x:c r="E30" s="17" t="str">
        <x:v>1. Directly open /profile.</x:v>
      </x:c>
      <x:c r="F30" s="17" t="str">
        <x:v>Email: qa.user@example.com; Password: Valid@123</x:v>
      </x:c>
      <x:c r="G30" s="17" t="str">
        <x:v>User is sent to /login.</x:v>
      </x:c>
      <x:c r="H30" s="17" t="str">
        <x:v>As expected</x:v>
      </x:c>
      <x:c r="I30" s="20" t="str">
        <x:v>Pass</x:v>
      </x:c>
      <x:c r="J30" s="24" t="str">
        <x:v>High</x:v>
      </x:c>
      <x:c r="K30" s="17" t="str">
        <x:v>Original Excel: Profile route is wrapped with ProtectedRoute.</x:v>
      </x:c>
    </x:row>
    <x:row r="31" ht="43.5" customHeight="1">
      <x:c r="A31" s="18" t="str">
        <x:v>TC-AUTH-026</x:v>
      </x:c>
      <x:c r="B31" s="18" t="str">
        <x:v>Authentication</x:v>
      </x:c>
      <x:c r="C31" s="17" t="str">
        <x:v>Logout</x:v>
      </x:c>
      <x:c r="D31" s="17" t="str">
        <x:v>User is logged in.</x:v>
      </x:c>
      <x:c r="E31" s="17" t="str">
        <x:v>1. Click Logout button from navbar.</x:v>
      </x:c>
      <x:c r="F31" s="17" t="str">
        <x:v>Standard QA test data</x:v>
      </x:c>
      <x:c r="G31" s="17" t="str">
        <x:v>Token and user are removed and login page opens.</x:v>
      </x:c>
      <x:c r="H31" s="17" t="str">
        <x:v>As expected</x:v>
      </x:c>
      <x:c r="I31" s="20" t="str">
        <x:v>Pass</x:v>
      </x:c>
      <x:c r="J31" s="24" t="str">
        <x:v>High</x:v>
      </x:c>
      <x:c r="K31" s="17" t="str">
        <x:v>Original Excel: Navbar calls logout() and navigate(/login).</x:v>
      </x:c>
    </x:row>
    <x:row r="32" ht="43.5" customHeight="1">
      <x:c r="A32" s="18" t="str">
        <x:v>TC-AUTH-027</x:v>
      </x:c>
      <x:c r="B32" s="18" t="str">
        <x:v>Authentication</x:v>
      </x:c>
      <x:c r="C32" s="17" t="str">
        <x:v>Forgot Password Page Open</x:v>
      </x:c>
      <x:c r="D32" s="17" t="str">
        <x:v>None.</x:v>
      </x:c>
      <x:c r="E32" s="17" t="str">
        <x:v>1. Open login page. 2. Click Forgot password link.</x:v>
      </x:c>
      <x:c r="F32" s="17" t="str">
        <x:v>Email: qa.user@example.com; Password: Valid@123</x:v>
      </x:c>
      <x:c r="G32" s="17" t="str">
        <x:v>Forgot password page is displayed.</x:v>
      </x:c>
      <x:c r="H32" s="17" t="str">
        <x:v>As expected</x:v>
      </x:c>
      <x:c r="I32" s="20" t="str">
        <x:v>Pass</x:v>
      </x:c>
      <x:c r="J32" s="24" t="str">
        <x:v>High</x:v>
      </x:c>
      <x:c r="K32" s="17" t="str">
        <x:v>Original Excel: LoginPage.jsx has link to /forgot-password.</x:v>
      </x:c>
    </x:row>
    <x:row r="33" ht="43.5" customHeight="1">
      <x:c r="A33" s="18" t="str">
        <x:v>TC-AUTH-028</x:v>
      </x:c>
      <x:c r="B33" s="18" t="str">
        <x:v>Authentication</x:v>
      </x:c>
      <x:c r="C33" s="17" t="str">
        <x:v>Forgot Password Valid Email</x:v>
      </x:c>
      <x:c r="D33" s="17" t="str">
        <x:v>A registered email exists. Mail may not be configured.</x:v>
      </x:c>
      <x:c r="E33" s="17" t="str">
        <x:v>1. Open forgot password page. 2. Enter registered email. 3. Click Send reset link.</x:v>
      </x:c>
      <x:c r="F33" s="17" t="str">
        <x:v>Standard QA test data</x:v>
      </x:c>
      <x:c r="G33" s="17" t="str">
        <x:v>Reset message is shown. If mail is not configured, reset link is shown on page.</x:v>
      </x:c>
      <x:c r="H33" s="17" t="str">
        <x:v>As expected</x:v>
      </x:c>
      <x:c r="I33" s="20" t="str">
        <x:v>Pass</x:v>
      </x:c>
      <x:c r="J33" s="24" t="str">
        <x:v>High</x:v>
      </x:c>
      <x:c r="K33" s="17" t="str">
        <x:v>Original Excel: AuthServiceImpl.forgotPassword returns resetLink when mail config is missing.</x:v>
      </x:c>
    </x:row>
    <x:row r="34" ht="43.5" customHeight="1">
      <x:c r="A34" s="18" t="str">
        <x:v>TC-AUTH-029</x:v>
      </x:c>
      <x:c r="B34" s="18" t="str">
        <x:v>Authentication</x:v>
      </x:c>
      <x:c r="C34" s="17" t="str">
        <x:v>Forgot Password Unknown Email</x:v>
      </x:c>
      <x:c r="D34" s="17" t="str">
        <x:v>Use an email not present in database.</x:v>
      </x:c>
      <x:c r="E34" s="17" t="str">
        <x:v>1. Open forgot password page. 2. Enter unknown email. 3. Submit.</x:v>
      </x:c>
      <x:c r="F34" s="17" t="str">
        <x:v>Standard QA test data</x:v>
      </x:c>
      <x:c r="G34" s="17" t="str">
        <x:v>Generic reset message is shown.</x:v>
      </x:c>
      <x:c r="H34" s="17" t="str">
        <x:v>As expected</x:v>
      </x:c>
      <x:c r="I34" s="20" t="str">
        <x:v>Pass</x:v>
      </x:c>
      <x:c r="J34" s="24" t="str">
        <x:v>High</x:v>
      </x:c>
      <x:c r="K34" s="17" t="str">
        <x:v>Original Excel: AuthServiceImpl returns same reset message for unknown email.</x:v>
      </x:c>
    </x:row>
    <x:row r="35" ht="43.5" customHeight="1">
      <x:c r="A35" s="18" t="str">
        <x:v>TC-AUTH-030</x:v>
      </x:c>
      <x:c r="B35" s="18" t="str">
        <x:v>Authentication</x:v>
      </x:c>
      <x:c r="C35" s="17" t="str">
        <x:v>Reset Password Without Token</x:v>
      </x:c>
      <x:c r="D35" s="17" t="str">
        <x:v>None.</x:v>
      </x:c>
      <x:c r="E35" s="17" t="str">
        <x:v>1. Open /reset-password without token.</x:v>
      </x:c>
      <x:c r="F35" s="17" t="str">
        <x:v>Standard QA test data</x:v>
      </x:c>
      <x:c r="G35" s="17" t="str">
        <x:v>Update password button is disabled.</x:v>
      </x:c>
      <x:c r="H35" s="17" t="str">
        <x:v>As expected</x:v>
      </x:c>
      <x:c r="I35" s="20" t="str">
        <x:v>Pass</x:v>
      </x:c>
      <x:c r="J35" s="24" t="str">
        <x:v>High</x:v>
      </x:c>
      <x:c r="K35" s="17" t="str">
        <x:v>Original Excel: ResetPasswordPage disables button when token is missing.</x:v>
      </x:c>
    </x:row>
    <x:row r="36" ht="43.5" customHeight="1">
      <x:c r="A36" s="18" t="str">
        <x:v>TC-AUTH-031</x:v>
      </x:c>
      <x:c r="B36" s="18" t="str">
        <x:v>Authentication</x:v>
      </x:c>
      <x:c r="C36" s="17" t="str">
        <x:v>Reset Password Mismatch</x:v>
      </x:c>
      <x:c r="D36" s="17" t="str">
        <x:v>Reset page has token in URL.</x:v>
      </x:c>
      <x:c r="E36" s="17" t="str">
        <x:v>1. Enter different password and confirm password. 2. Submit.</x:v>
      </x:c>
      <x:c r="F36" s="17" t="str">
        <x:v>Standard QA test data</x:v>
      </x:c>
      <x:c r="G36" s="17" t="str">
        <x:v>Passwords do not match message is shown.</x:v>
      </x:c>
      <x:c r="H36" s="17" t="str">
        <x:v>As expected</x:v>
      </x:c>
      <x:c r="I36" s="20" t="str">
        <x:v>Pass</x:v>
      </x:c>
      <x:c r="J36" s="24" t="str">
        <x:v>High</x:v>
      </x:c>
      <x:c r="K36" s="17" t="str">
        <x:v>Original Excel: ResetPasswordPage checks password and confirmPassword before API call.</x:v>
      </x:c>
    </x:row>
    <x:row r="37" ht="43.5" customHeight="1">
      <x:c r="A37" s="18" t="str">
        <x:v>TC-AUTH-032</x:v>
      </x:c>
      <x:c r="B37" s="18" t="str">
        <x:v>Authentication</x:v>
      </x:c>
      <x:c r="C37" s="17" t="str">
        <x:v>Reset Password Short Password</x:v>
      </x:c>
      <x:c r="D37" s="17" t="str">
        <x:v>Reset token exists.</x:v>
      </x:c>
      <x:c r="E37" s="17" t="str">
        <x:v>1. Enter password less than 6 characters. 2. Submit.</x:v>
      </x:c>
      <x:c r="F37" s="17" t="str">
        <x:v>Password: 12345</x:v>
      </x:c>
      <x:c r="G37" s="17" t="str">
        <x:v>Password must be at least 6 characters message is shown.</x:v>
      </x:c>
      <x:c r="H37" s="17" t="str">
        <x:v>As expected</x:v>
      </x:c>
      <x:c r="I37" s="20" t="str">
        <x:v>Pass</x:v>
      </x:c>
      <x:c r="J37" s="24" t="str">
        <x:v>High</x:v>
      </x:c>
      <x:c r="K37" s="17" t="str">
        <x:v>Original Excel: ResetPasswordRequest has @Size(min = 6).</x:v>
      </x:c>
    </x:row>
    <x:row r="38" ht="43.5" customHeight="1">
      <x:c r="A38" s="18" t="str">
        <x:v>TC-AUTH-033</x:v>
      </x:c>
      <x:c r="B38" s="18" t="str">
        <x:v>Authentication</x:v>
      </x:c>
      <x:c r="C38" s="17" t="str">
        <x:v>Reset Password Invalid Token</x:v>
      </x:c>
      <x:c r="D38" s="17" t="str">
        <x:v>Use wrong or expired token.</x:v>
      </x:c>
      <x:c r="E38" s="17" t="str">
        <x:v>1. Open reset page with wrong token. 2. Enter valid password. 3. Submit.</x:v>
      </x:c>
      <x:c r="F38" s="17" t="str">
        <x:v>Standard QA test data</x:v>
      </x:c>
      <x:c r="G38" s="17" t="str">
        <x:v>Password reset link is invalid or expired message is shown.</x:v>
      </x:c>
      <x:c r="H38" s="17" t="str">
        <x:v>As expected</x:v>
      </x:c>
      <x:c r="I38" s="20" t="str">
        <x:v>Pass</x:v>
      </x:c>
      <x:c r="J38" s="24" t="str">
        <x:v>High</x:v>
      </x:c>
      <x:c r="K38" s="17" t="str">
        <x:v>Original Excel: AuthServiceImpl.resetPassword checks hashed reset token and expiry.</x:v>
      </x:c>
    </x:row>
    <x:row r="39" ht="43.5" customHeight="1">
      <x:c r="A39" s="18" t="str">
        <x:v>TC-AUTH-034</x:v>
      </x:c>
      <x:c r="B39" s="18" t="str">
        <x:v>Authentication</x:v>
      </x:c>
      <x:c r="C39" s="17" t="str">
        <x:v>Login Lockout After Many Wrong Attempts</x:v>
      </x:c>
      <x:c r="D39" s="17" t="str">
        <x:v>Registered user exists.</x:v>
      </x:c>
      <x:c r="E39" s="17" t="str">
        <x:v>1. Enter wrong password many times. 2. Observe result.</x:v>
      </x:c>
      <x:c r="F39" s="17" t="str">
        <x:v>Email: qa.user@example.com; Password: Valid@123</x:v>
      </x:c>
      <x:c r="G39" s="17" t="str">
        <x:v>Account lock or captcha should appear if implemented.</x:v>
      </x:c>
      <x:c r="H39" s="17" t="str"/>
      <x:c r="I39" s="22" t="str">
        <x:v>Pending</x:v>
      </x:c>
      <x:c r="J39" s="24" t="str">
        <x:v>High</x:v>
      </x:c>
      <x:c r="K39" s="17" t="str">
        <x:v>Original Excel: No lockout or captcha code exists.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c2e169a9db4a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0" hidden="0" customWidth="1"/>
    <x:col min="5" max="5" width="44" hidden="0" customWidth="1"/>
    <x:col min="6" max="6" width="28" hidden="0" customWidth="1"/>
    <x:col min="7" max="7" width="40" hidden="0" customWidth="1"/>
    <x:col min="8" max="8" width="24" hidden="0" customWidth="1"/>
    <x:col min="9" max="9" width="13" hidden="0" customWidth="1"/>
    <x:col min="10" max="10" width="12" hidden="0" customWidth="1"/>
    <x:col min="11" max="11" width="34" hidden="0" customWidth="1"/>
  </x:cols>
  <x:sheetData>
    <x:row r="1" ht="27" customHeight="1">
      <x:c r="A1" s="4" t="str">
        <x:v>Ecommerce QA Test Cases - Product Listing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Project</x:v>
      </x:c>
      <x:c r="B2" s="7" t="str">
        <x:v>Ecommerce Fullstack QA</x:v>
      </x:c>
      <x:c r="C2" s="7" t="str"/>
      <x:c r="D2" s="8" t="str">
        <x:v>Module</x:v>
      </x:c>
      <x:c r="E2" s="7" t="str">
        <x:v>Product Listing</x:v>
      </x:c>
      <x:c r="F2" s="7" t="str"/>
      <x:c r="G2" s="8" t="str">
        <x:v>Prepared For</x:v>
      </x:c>
      <x:c r="H2" s="7" t="str">
        <x:v>Interview / Portfolio / Real QA Usage</x:v>
      </x:c>
      <x:c r="I2" s="7" t="str"/>
      <x:c r="J2" s="8" t="str">
        <x:v>Updated</x:v>
      </x:c>
      <x:c r="K2" s="9" t="n">
        <x:v>46170.69377427083</x:v>
      </x:c>
    </x:row>
    <x:row r="3">
      <x:c r="A3" s="8" t="str">
        <x:v>Format</x:v>
      </x:c>
      <x:c r="B3" s="7" t="str">
        <x:v>QA Industry Standard</x:v>
      </x:c>
      <x:c r="C3" s="7" t="str"/>
      <x:c r="D3" s="8" t="str">
        <x:v>Execution</x:v>
      </x:c>
      <x:c r="E3" s="7" t="str">
        <x:v>Manual + Automation Ready</x:v>
      </x:c>
      <x:c r="F3" s="7" t="str"/>
      <x:c r="G3" s="8" t="str">
        <x:v>Legend</x:v>
      </x:c>
      <x:c r="H3" s="7" t="str">
        <x:v>Priority and status are color-coded</x:v>
      </x:c>
      <x:c r="I3" s="7" t="str"/>
      <x:c r="J3" s="8" t="str">
        <x:v>Owner</x:v>
      </x:c>
      <x:c r="K3" s="7" t="str">
        <x:v>QA Team</x:v>
      </x:c>
    </x:row>
    <x:row r="5" ht="24" customHeight="1">
      <x:c r="A5" s="14" t="str">
        <x:v>Test Case ID</x:v>
      </x:c>
      <x:c r="B5" s="14" t="str">
        <x:v>Module</x:v>
      </x:c>
      <x:c r="C5" s="14" t="str">
        <x:v>Test Scenario</x:v>
      </x:c>
      <x:c r="D5" s="14" t="str">
        <x:v>Preconditions</x:v>
      </x:c>
      <x:c r="E5" s="14" t="str">
        <x:v>Test Steps</x:v>
      </x:c>
      <x:c r="F5" s="14" t="str">
        <x:v>Test Data</x:v>
      </x:c>
      <x:c r="G5" s="14" t="str">
        <x:v>Expected Result</x:v>
      </x:c>
      <x:c r="H5" s="14" t="str">
        <x:v>Actual Result</x:v>
      </x:c>
      <x:c r="I5" s="14" t="str">
        <x:v>Status</x:v>
      </x:c>
      <x:c r="J5" s="14" t="str">
        <x:v>Priority</x:v>
      </x:c>
      <x:c r="K5" s="14" t="str">
        <x:v>Remarks</x:v>
      </x:c>
    </x:row>
    <x:row r="6" ht="43.5" customHeight="1">
      <x:c r="A6" s="18" t="str">
        <x:v>TC-PLP-001</x:v>
      </x:c>
      <x:c r="B6" s="18" t="str">
        <x:v>Product Listing</x:v>
      </x:c>
      <x:c r="C6" s="17" t="str">
        <x:v>Search functionality with valid keyword</x:v>
      </x:c>
      <x:c r="D6" s="17" t="str">
        <x:v>Products exist for the keyword</x:v>
      </x:c>
      <x:c r="E6" s="17" t="str">
        <x:v>1. Enter keyword. 2. Submit search. 3. Verify result relevance and count.</x:v>
      </x:c>
      <x:c r="F6" s="17" t="str">
        <x:v>Keyword: headphones</x:v>
      </x:c>
      <x:c r="G6" s="17" t="str">
        <x:v>Relevant products are displayed and result count updates.</x:v>
      </x:c>
      <x:c r="H6" s="17" t="str">
        <x:v>As expected</x:v>
      </x:c>
      <x:c r="I6" s="20" t="str">
        <x:v>Pass</x:v>
      </x:c>
      <x:c r="J6" s="24" t="str">
        <x:v>High</x:v>
      </x:c>
      <x:c r="K6" s="17" t="str">
        <x:v>Requested sample.</x:v>
      </x:c>
    </x:row>
    <x:row r="7" ht="43.5" customHeight="1">
      <x:c r="A7" s="18" t="str">
        <x:v>TC-PLP-002</x:v>
      </x:c>
      <x:c r="B7" s="18" t="str">
        <x:v>Product Listing</x:v>
      </x:c>
      <x:c r="C7" s="17" t="str">
        <x:v>Search functionality with no results</x:v>
      </x:c>
      <x:c r="D7" s="17" t="str">
        <x:v>No product matches the keyword</x:v>
      </x:c>
      <x:c r="E7" s="17" t="str">
        <x:v>1. Enter uncommon keyword. 2. Submit search.</x:v>
      </x:c>
      <x:c r="F7" s="17" t="str">
        <x:v>Keyword: zzz-no-product</x:v>
      </x:c>
      <x:c r="G7" s="17" t="str">
        <x:v>Clear no-result message appears with recovery action.</x:v>
      </x:c>
      <x:c r="H7" s="17" t="str"/>
      <x:c r="I7" s="22" t="str">
        <x:v>Pending</x:v>
      </x:c>
      <x:c r="J7" s="22" t="str">
        <x:v>Medium</x:v>
      </x:c>
      <x:c r="K7" s="17" t="str">
        <x:v>Empty-state coverage.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be88a044fe49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0" hidden="0" customWidth="1"/>
    <x:col min="5" max="5" width="44" hidden="0" customWidth="1"/>
    <x:col min="6" max="6" width="28" hidden="0" customWidth="1"/>
    <x:col min="7" max="7" width="40" hidden="0" customWidth="1"/>
    <x:col min="8" max="8" width="24" hidden="0" customWidth="1"/>
    <x:col min="9" max="9" width="13" hidden="0" customWidth="1"/>
    <x:col min="10" max="10" width="12" hidden="0" customWidth="1"/>
    <x:col min="11" max="11" width="34" hidden="0" customWidth="1"/>
  </x:cols>
  <x:sheetData>
    <x:row r="1" ht="27" customHeight="1">
      <x:c r="A1" s="4" t="str">
        <x:v>Ecommerce QA Test Cases - Product Details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Project</x:v>
      </x:c>
      <x:c r="B2" s="7" t="str">
        <x:v>Ecommerce Fullstack QA</x:v>
      </x:c>
      <x:c r="C2" s="7" t="str"/>
      <x:c r="D2" s="8" t="str">
        <x:v>Module</x:v>
      </x:c>
      <x:c r="E2" s="7" t="str">
        <x:v>Product Details</x:v>
      </x:c>
      <x:c r="F2" s="7" t="str"/>
      <x:c r="G2" s="8" t="str">
        <x:v>Prepared For</x:v>
      </x:c>
      <x:c r="H2" s="7" t="str">
        <x:v>Interview / Portfolio / Real QA Usage</x:v>
      </x:c>
      <x:c r="I2" s="7" t="str"/>
      <x:c r="J2" s="8" t="str">
        <x:v>Updated</x:v>
      </x:c>
      <x:c r="K2" s="9" t="n">
        <x:v>46170.69377438657</x:v>
      </x:c>
    </x:row>
    <x:row r="3">
      <x:c r="A3" s="8" t="str">
        <x:v>Format</x:v>
      </x:c>
      <x:c r="B3" s="7" t="str">
        <x:v>QA Industry Standard</x:v>
      </x:c>
      <x:c r="C3" s="7" t="str"/>
      <x:c r="D3" s="8" t="str">
        <x:v>Execution</x:v>
      </x:c>
      <x:c r="E3" s="7" t="str">
        <x:v>Manual + Automation Ready</x:v>
      </x:c>
      <x:c r="F3" s="7" t="str"/>
      <x:c r="G3" s="8" t="str">
        <x:v>Legend</x:v>
      </x:c>
      <x:c r="H3" s="7" t="str">
        <x:v>Priority and status are color-coded</x:v>
      </x:c>
      <x:c r="I3" s="7" t="str"/>
      <x:c r="J3" s="8" t="str">
        <x:v>Owner</x:v>
      </x:c>
      <x:c r="K3" s="7" t="str">
        <x:v>QA Team</x:v>
      </x:c>
    </x:row>
    <x:row r="5" ht="24" customHeight="1">
      <x:c r="A5" s="14" t="str">
        <x:v>Test Case ID</x:v>
      </x:c>
      <x:c r="B5" s="14" t="str">
        <x:v>Module</x:v>
      </x:c>
      <x:c r="C5" s="14" t="str">
        <x:v>Test Scenario</x:v>
      </x:c>
      <x:c r="D5" s="14" t="str">
        <x:v>Preconditions</x:v>
      </x:c>
      <x:c r="E5" s="14" t="str">
        <x:v>Test Steps</x:v>
      </x:c>
      <x:c r="F5" s="14" t="str">
        <x:v>Test Data</x:v>
      </x:c>
      <x:c r="G5" s="14" t="str">
        <x:v>Expected Result</x:v>
      </x:c>
      <x:c r="H5" s="14" t="str">
        <x:v>Actual Result</x:v>
      </x:c>
      <x:c r="I5" s="14" t="str">
        <x:v>Status</x:v>
      </x:c>
      <x:c r="J5" s="14" t="str">
        <x:v>Priority</x:v>
      </x:c>
      <x:c r="K5" s="14" t="str">
        <x:v>Remarks</x:v>
      </x:c>
    </x:row>
    <x:row r="6" ht="43.5" customHeight="1">
      <x:c r="A6" s="18" t="str">
        <x:v>TC-PDP-001</x:v>
      </x:c>
      <x:c r="B6" s="18" t="str">
        <x:v>Product Details</x:v>
      </x:c>
      <x:c r="C6" s="17" t="str">
        <x:v>Product details page validation</x:v>
      </x:c>
      <x:c r="D6" s="17" t="str">
        <x:v>Product exists</x:v>
      </x:c>
      <x:c r="E6" s="17" t="str">
        <x:v>1. Open product details. 2. Verify title, image, price, stock, reviews, and CTA.</x:v>
      </x:c>
      <x:c r="F6" s="17" t="str">
        <x:v>SKU: QA-1001</x:v>
      </x:c>
      <x:c r="G6" s="17" t="str">
        <x:v>All product information is accurate and complete.</x:v>
      </x:c>
      <x:c r="H6" s="17" t="str">
        <x:v>As expected</x:v>
      </x:c>
      <x:c r="I6" s="20" t="str">
        <x:v>Pass</x:v>
      </x:c>
      <x:c r="J6" s="24" t="str">
        <x:v>High</x:v>
      </x:c>
      <x:c r="K6" s="17" t="str">
        <x:v>PDP coverage.</x:v>
      </x:c>
    </x:row>
    <x:row r="7" ht="43.5" customHeight="1">
      <x:c r="A7" s="18" t="str">
        <x:v>TC-PDP-002</x:v>
      </x:c>
      <x:c r="B7" s="18" t="str">
        <x:v>Product Details</x:v>
      </x:c>
      <x:c r="C7" s="17" t="str">
        <x:v>Quantity boundary validation</x:v>
      </x:c>
      <x:c r="D7" s="17" t="str">
        <x:v>Product is in stock</x:v>
      </x:c>
      <x:c r="E7" s="17" t="str">
        <x:v>1. Increase quantity. 2. Try zero, negative, and above-stock quantity.</x:v>
      </x:c>
      <x:c r="F7" s="17" t="str">
        <x:v>Stock: 5</x:v>
      </x:c>
      <x:c r="G7" s="17" t="str">
        <x:v>Quantity stays within allowed boundaries.</x:v>
      </x:c>
      <x:c r="H7" s="17" t="str"/>
      <x:c r="I7" s="22" t="str">
        <x:v>Pending</x:v>
      </x:c>
      <x:c r="J7" s="24" t="str">
        <x:v>High</x:v>
      </x:c>
      <x:c r="K7" s="17" t="str">
        <x:v>Inventory guardrail.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47cd84691c40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0" hidden="0" customWidth="1"/>
    <x:col min="5" max="5" width="44" hidden="0" customWidth="1"/>
    <x:col min="6" max="6" width="28" hidden="0" customWidth="1"/>
    <x:col min="7" max="7" width="40" hidden="0" customWidth="1"/>
    <x:col min="8" max="8" width="24" hidden="0" customWidth="1"/>
    <x:col min="9" max="9" width="13" hidden="0" customWidth="1"/>
    <x:col min="10" max="10" width="12" hidden="0" customWidth="1"/>
    <x:col min="11" max="11" width="34" hidden="0" customWidth="1"/>
  </x:cols>
  <x:sheetData>
    <x:row r="1" ht="27" customHeight="1">
      <x:c r="A1" s="4" t="str">
        <x:v>Ecommerce QA Test Cases - Cart &amp; Checkout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Project</x:v>
      </x:c>
      <x:c r="B2" s="7" t="str">
        <x:v>Ecommerce Fullstack QA</x:v>
      </x:c>
      <x:c r="C2" s="7" t="str"/>
      <x:c r="D2" s="8" t="str">
        <x:v>Module</x:v>
      </x:c>
      <x:c r="E2" s="7" t="str">
        <x:v>Cart &amp; Checkout</x:v>
      </x:c>
      <x:c r="F2" s="7" t="str"/>
      <x:c r="G2" s="8" t="str">
        <x:v>Prepared For</x:v>
      </x:c>
      <x:c r="H2" s="7" t="str">
        <x:v>Interview / Portfolio / Real QA Usage</x:v>
      </x:c>
      <x:c r="I2" s="7" t="str"/>
      <x:c r="J2" s="8" t="str">
        <x:v>Updated</x:v>
      </x:c>
      <x:c r="K2" s="9" t="n">
        <x:v>46170.693774548614</x:v>
      </x:c>
    </x:row>
    <x:row r="3">
      <x:c r="A3" s="8" t="str">
        <x:v>Format</x:v>
      </x:c>
      <x:c r="B3" s="7" t="str">
        <x:v>QA Industry Standard</x:v>
      </x:c>
      <x:c r="C3" s="7" t="str"/>
      <x:c r="D3" s="8" t="str">
        <x:v>Execution</x:v>
      </x:c>
      <x:c r="E3" s="7" t="str">
        <x:v>Manual + Automation Ready</x:v>
      </x:c>
      <x:c r="F3" s="7" t="str"/>
      <x:c r="G3" s="8" t="str">
        <x:v>Legend</x:v>
      </x:c>
      <x:c r="H3" s="7" t="str">
        <x:v>Priority and status are color-coded</x:v>
      </x:c>
      <x:c r="I3" s="7" t="str"/>
      <x:c r="J3" s="8" t="str">
        <x:v>Owner</x:v>
      </x:c>
      <x:c r="K3" s="7" t="str">
        <x:v>QA Team</x:v>
      </x:c>
    </x:row>
    <x:row r="5" ht="24" customHeight="1">
      <x:c r="A5" s="14" t="str">
        <x:v>Test Case ID</x:v>
      </x:c>
      <x:c r="B5" s="14" t="str">
        <x:v>Module</x:v>
      </x:c>
      <x:c r="C5" s="14" t="str">
        <x:v>Test Scenario</x:v>
      </x:c>
      <x:c r="D5" s="14" t="str">
        <x:v>Preconditions</x:v>
      </x:c>
      <x:c r="E5" s="14" t="str">
        <x:v>Test Steps</x:v>
      </x:c>
      <x:c r="F5" s="14" t="str">
        <x:v>Test Data</x:v>
      </x:c>
      <x:c r="G5" s="14" t="str">
        <x:v>Expected Result</x:v>
      </x:c>
      <x:c r="H5" s="14" t="str">
        <x:v>Actual Result</x:v>
      </x:c>
      <x:c r="I5" s="14" t="str">
        <x:v>Status</x:v>
      </x:c>
      <x:c r="J5" s="14" t="str">
        <x:v>Priority</x:v>
      </x:c>
      <x:c r="K5" s="14" t="str">
        <x:v>Remarks</x:v>
      </x:c>
    </x:row>
    <x:row r="6" ht="43.5" customHeight="1">
      <x:c r="A6" s="18" t="str">
        <x:v>TC-CHK-001</x:v>
      </x:c>
      <x:c r="B6" s="18" t="str">
        <x:v>Cart &amp; Checkout</x:v>
      </x:c>
      <x:c r="C6" s="17" t="str">
        <x:v>Add product to cart</x:v>
      </x:c>
      <x:c r="D6" s="17" t="str">
        <x:v>Product is available</x:v>
      </x:c>
      <x:c r="E6" s="17" t="str">
        <x:v>1. Click Add to Cart. 2. Open cart.</x:v>
      </x:c>
      <x:c r="F6" s="17" t="str">
        <x:v>SKU: QA-1001; Qty: 1</x:v>
      </x:c>
      <x:c r="G6" s="17" t="str">
        <x:v>Cart shows correct product, price, and quantity.</x:v>
      </x:c>
      <x:c r="H6" s="17" t="str">
        <x:v>As expected</x:v>
      </x:c>
      <x:c r="I6" s="20" t="str">
        <x:v>Pass</x:v>
      </x:c>
      <x:c r="J6" s="24" t="str">
        <x:v>High</x:v>
      </x:c>
      <x:c r="K6" s="17" t="str">
        <x:v>Requested cart operation.</x:v>
      </x:c>
    </x:row>
    <x:row r="7" ht="43.5" customHeight="1">
      <x:c r="A7" s="18" t="str">
        <x:v>TC-CHK-002</x:v>
      </x:c>
      <x:c r="B7" s="18" t="str">
        <x:v>Cart &amp; Checkout</x:v>
      </x:c>
      <x:c r="C7" s="17" t="str">
        <x:v>Update cart quantity</x:v>
      </x:c>
      <x:c r="D7" s="17" t="str">
        <x:v>Cart has one item</x:v>
      </x:c>
      <x:c r="E7" s="17" t="str">
        <x:v>1. Increase quantity. 2. Decrease quantity. 3. Verify totals.</x:v>
      </x:c>
      <x:c r="F7" s="17" t="str">
        <x:v>Qty: 1 to 3 to 2</x:v>
      </x:c>
      <x:c r="G7" s="17" t="str">
        <x:v>Line total and grand total recalculate correctly.</x:v>
      </x:c>
      <x:c r="H7" s="17" t="str">
        <x:v>As expected</x:v>
      </x:c>
      <x:c r="I7" s="20" t="str">
        <x:v>Pass</x:v>
      </x:c>
      <x:c r="J7" s="24" t="str">
        <x:v>High</x:v>
      </x:c>
      <x:c r="K7" s="17" t="str">
        <x:v>Requested cart operation.</x:v>
      </x:c>
    </x:row>
    <x:row r="8" ht="43.5" customHeight="1">
      <x:c r="A8" s="18" t="str">
        <x:v>TC-CHK-003</x:v>
      </x:c>
      <x:c r="B8" s="18" t="str">
        <x:v>Cart &amp; Checkout</x:v>
      </x:c>
      <x:c r="C8" s="17" t="str">
        <x:v>Remove item from cart</x:v>
      </x:c>
      <x:c r="D8" s="17" t="str">
        <x:v>Cart has one item</x:v>
      </x:c>
      <x:c r="E8" s="17" t="str">
        <x:v>1. Click Remove. 2. Confirm item is removed.</x:v>
      </x:c>
      <x:c r="F8" s="17" t="str">
        <x:v>SKU: QA-1001</x:v>
      </x:c>
      <x:c r="G8" s="17" t="str">
        <x:v>Cart item is removed and totals update.</x:v>
      </x:c>
      <x:c r="H8" s="17" t="str">
        <x:v>As expected</x:v>
      </x:c>
      <x:c r="I8" s="20" t="str">
        <x:v>Pass</x:v>
      </x:c>
      <x:c r="J8" s="24" t="str">
        <x:v>High</x:v>
      </x:c>
      <x:c r="K8" s="17" t="str">
        <x:v>Requested cart operation.</x:v>
      </x:c>
    </x:row>
    <x:row r="9" ht="43.5" customHeight="1">
      <x:c r="A9" s="18" t="str">
        <x:v>TC-CHK-004</x:v>
      </x:c>
      <x:c r="B9" s="18" t="str">
        <x:v>Cart &amp; Checkout</x:v>
      </x:c>
      <x:c r="C9" s="17" t="str">
        <x:v>Checkout shipping address validation</x:v>
      </x:c>
      <x:c r="D9" s="17" t="str">
        <x:v>Cart has products</x:v>
      </x:c>
      <x:c r="E9" s="17" t="str">
        <x:v>1. Proceed to checkout. 2. Enter shipping address. 3. Continue.</x:v>
      </x:c>
      <x:c r="F9" s="17" t="str">
        <x:v>221B QA Street, Test City</x:v>
      </x:c>
      <x:c r="G9" s="17" t="str">
        <x:v>Shipping form validates and saves address.</x:v>
      </x:c>
      <x:c r="H9" s="17" t="str"/>
      <x:c r="I9" s="22" t="str">
        <x:v>Pending</x:v>
      </x:c>
      <x:c r="J9" s="24" t="str">
        <x:v>High</x:v>
      </x:c>
      <x:c r="K9" s="17" t="str">
        <x:v>Requested checkout flow.</x:v>
      </x:c>
    </x:row>
    <x:row r="10" ht="43.5" customHeight="1">
      <x:c r="A10" s="18" t="str">
        <x:v>TC-CHK-005</x:v>
      </x:c>
      <x:c r="B10" s="18" t="str">
        <x:v>Cart &amp; Checkout</x:v>
      </x:c>
      <x:c r="C10" s="17" t="str">
        <x:v>Payment flow with valid card</x:v>
      </x:c>
      <x:c r="D10" s="17" t="str">
        <x:v>User is on payment step</x:v>
      </x:c>
      <x:c r="E10" s="17" t="str">
        <x:v>1. Enter card details. 2. Place order.</x:v>
      </x:c>
      <x:c r="F10" s="17" t="str">
        <x:v>4111 1111 1111 1111 / 12-30 / 123</x:v>
      </x:c>
      <x:c r="G10" s="17" t="str">
        <x:v>Payment succeeds and order confirmation appears.</x:v>
      </x:c>
      <x:c r="H10" s="17" t="str"/>
      <x:c r="I10" s="22" t="str">
        <x:v>Pending</x:v>
      </x:c>
      <x:c r="J10" s="24" t="str">
        <x:v>High</x:v>
      </x:c>
      <x:c r="K10" s="17" t="str">
        <x:v>Requested payment flow.</x:v>
      </x:c>
    </x:row>
    <x:row r="11" ht="43.5" customHeight="1">
      <x:c r="A11" s="18" t="str">
        <x:v>TC-CHK-006</x:v>
      </x:c>
      <x:c r="B11" s="18" t="str">
        <x:v>Cart &amp; Checkout</x:v>
      </x:c>
      <x:c r="C11" s="17" t="str">
        <x:v>Payment failure handling</x:v>
      </x:c>
      <x:c r="D11" s="17" t="str">
        <x:v>User is on payment step</x:v>
      </x:c>
      <x:c r="E11" s="17" t="str">
        <x:v>1. Enter declined card. 2. Submit payment.</x:v>
      </x:c>
      <x:c r="F11" s="17" t="str">
        <x:v>4000 0000 0000 0002</x:v>
      </x:c>
      <x:c r="G11" s="17" t="str">
        <x:v>Payment error appears and paid order is not created.</x:v>
      </x:c>
      <x:c r="H11" s="17" t="str"/>
      <x:c r="I11" s="22" t="str">
        <x:v>Pending</x:v>
      </x:c>
      <x:c r="J11" s="24" t="str">
        <x:v>High</x:v>
      </x:c>
      <x:c r="K11" s="17" t="str">
        <x:v>Critical negative flow.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eeec86757f4b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0" hidden="0" customWidth="1"/>
    <x:col min="5" max="5" width="44" hidden="0" customWidth="1"/>
    <x:col min="6" max="6" width="28" hidden="0" customWidth="1"/>
    <x:col min="7" max="7" width="40" hidden="0" customWidth="1"/>
    <x:col min="8" max="8" width="24" hidden="0" customWidth="1"/>
    <x:col min="9" max="9" width="13" hidden="0" customWidth="1"/>
    <x:col min="10" max="10" width="12" hidden="0" customWidth="1"/>
    <x:col min="11" max="11" width="34" hidden="0" customWidth="1"/>
  </x:cols>
  <x:sheetData>
    <x:row r="1" ht="27" customHeight="1">
      <x:c r="A1" s="4" t="str">
        <x:v>Ecommerce QA Test Cases - User Profile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Project</x:v>
      </x:c>
      <x:c r="B2" s="7" t="str">
        <x:v>Ecommerce Fullstack QA</x:v>
      </x:c>
      <x:c r="C2" s="7" t="str"/>
      <x:c r="D2" s="8" t="str">
        <x:v>Module</x:v>
      </x:c>
      <x:c r="E2" s="7" t="str">
        <x:v>User Profile</x:v>
      </x:c>
      <x:c r="F2" s="7" t="str"/>
      <x:c r="G2" s="8" t="str">
        <x:v>Prepared For</x:v>
      </x:c>
      <x:c r="H2" s="7" t="str">
        <x:v>Interview / Portfolio / Real QA Usage</x:v>
      </x:c>
      <x:c r="I2" s="7" t="str"/>
      <x:c r="J2" s="8" t="str">
        <x:v>Updated</x:v>
      </x:c>
      <x:c r="K2" s="9" t="n">
        <x:v>46170.69377478009</x:v>
      </x:c>
    </x:row>
    <x:row r="3">
      <x:c r="A3" s="8" t="str">
        <x:v>Format</x:v>
      </x:c>
      <x:c r="B3" s="7" t="str">
        <x:v>QA Industry Standard</x:v>
      </x:c>
      <x:c r="C3" s="7" t="str"/>
      <x:c r="D3" s="8" t="str">
        <x:v>Execution</x:v>
      </x:c>
      <x:c r="E3" s="7" t="str">
        <x:v>Manual + Automation Ready</x:v>
      </x:c>
      <x:c r="F3" s="7" t="str"/>
      <x:c r="G3" s="8" t="str">
        <x:v>Legend</x:v>
      </x:c>
      <x:c r="H3" s="7" t="str">
        <x:v>Priority and status are color-coded</x:v>
      </x:c>
      <x:c r="I3" s="7" t="str"/>
      <x:c r="J3" s="8" t="str">
        <x:v>Owner</x:v>
      </x:c>
      <x:c r="K3" s="7" t="str">
        <x:v>QA Team</x:v>
      </x:c>
    </x:row>
    <x:row r="5" ht="24" customHeight="1">
      <x:c r="A5" s="14" t="str">
        <x:v>Test Case ID</x:v>
      </x:c>
      <x:c r="B5" s="14" t="str">
        <x:v>Module</x:v>
      </x:c>
      <x:c r="C5" s="14" t="str">
        <x:v>Test Scenario</x:v>
      </x:c>
      <x:c r="D5" s="14" t="str">
        <x:v>Preconditions</x:v>
      </x:c>
      <x:c r="E5" s="14" t="str">
        <x:v>Test Steps</x:v>
      </x:c>
      <x:c r="F5" s="14" t="str">
        <x:v>Test Data</x:v>
      </x:c>
      <x:c r="G5" s="14" t="str">
        <x:v>Expected Result</x:v>
      </x:c>
      <x:c r="H5" s="14" t="str">
        <x:v>Actual Result</x:v>
      </x:c>
      <x:c r="I5" s="14" t="str">
        <x:v>Status</x:v>
      </x:c>
      <x:c r="J5" s="14" t="str">
        <x:v>Priority</x:v>
      </x:c>
      <x:c r="K5" s="14" t="str">
        <x:v>Remarks</x:v>
      </x:c>
    </x:row>
    <x:row r="6" ht="43.5" customHeight="1">
      <x:c r="A6" s="18" t="str">
        <x:v>TC-PROF-001</x:v>
      </x:c>
      <x:c r="B6" s="18" t="str">
        <x:v>User Profile</x:v>
      </x:c>
      <x:c r="C6" s="17" t="str">
        <x:v>Profile details validation</x:v>
      </x:c>
      <x:c r="D6" s="17" t="str">
        <x:v>User is logged in</x:v>
      </x:c>
      <x:c r="E6" s="17" t="str">
        <x:v>1. Open profile page. 2. Verify name, email, phone, and address.</x:v>
      </x:c>
      <x:c r="F6" s="17" t="str">
        <x:v>qa.user@example.com</x:v>
      </x:c>
      <x:c r="G6" s="17" t="str">
        <x:v>Profile details are displayed accurately.</x:v>
      </x:c>
      <x:c r="H6" s="17" t="str">
        <x:v>As expected</x:v>
      </x:c>
      <x:c r="I6" s="20" t="str">
        <x:v>Pass</x:v>
      </x:c>
      <x:c r="J6" s="22" t="str">
        <x:v>Medium</x:v>
      </x:c>
      <x:c r="K6" s="17" t="str">
        <x:v>Profile module.</x:v>
      </x:c>
    </x:row>
    <x:row r="7" ht="43.5" customHeight="1">
      <x:c r="A7" s="18" t="str">
        <x:v>TC-PROF-002</x:v>
      </x:c>
      <x:c r="B7" s="18" t="str">
        <x:v>User Profile</x:v>
      </x:c>
      <x:c r="C7" s="17" t="str">
        <x:v>Profile Page Open</x:v>
      </x:c>
      <x:c r="D7" s="17" t="str">
        <x:v>User is logged in.</x:v>
      </x:c>
      <x:c r="E7" s="17" t="str">
        <x:v>1. Click Profile from navbar.</x:v>
      </x:c>
      <x:c r="F7" s="17" t="str">
        <x:v>Standard QA test data</x:v>
      </x:c>
      <x:c r="G7" s="17" t="str">
        <x:v>Profile page opens with user details.</x:v>
      </x:c>
      <x:c r="H7" s="17" t="str">
        <x:v>As expected</x:v>
      </x:c>
      <x:c r="I7" s="20" t="str">
        <x:v>Pass</x:v>
      </x:c>
      <x:c r="J7" s="20" t="str">
        <x:v>Low</x:v>
      </x:c>
      <x:c r="K7" s="17" t="str">
        <x:v>Original Excel: ProfilePage.jsx calls getProfile().</x:v>
      </x:c>
    </x:row>
    <x:row r="8" ht="43.5" customHeight="1">
      <x:c r="A8" s="18" t="str">
        <x:v>TC-PROF-003</x:v>
      </x:c>
      <x:c r="B8" s="18" t="str">
        <x:v>User Profile</x:v>
      </x:c>
      <x:c r="C8" s="17" t="str">
        <x:v>Profile Data Display</x:v>
      </x:c>
      <x:c r="D8" s="17" t="str">
        <x:v>User is logged in.</x:v>
      </x:c>
      <x:c r="E8" s="17" t="str">
        <x:v>1. Open profile page. 2. Check left profile card.</x:v>
      </x:c>
      <x:c r="F8" s="17" t="str">
        <x:v>Standard QA test data</x:v>
      </x:c>
      <x:c r="G8" s="17" t="str">
        <x:v>Name, email, user id, joined date, and last updated date are shown.</x:v>
      </x:c>
      <x:c r="H8" s="17" t="str">
        <x:v>As expected</x:v>
      </x:c>
      <x:c r="I8" s="20" t="str">
        <x:v>Pass</x:v>
      </x:c>
      <x:c r="J8" s="20" t="str">
        <x:v>Low</x:v>
      </x:c>
      <x:c r="K8" s="17" t="str">
        <x:v>Original Excel: ProfileResponse returns userId, name, email, role, createdAt, updatedAt.</x:v>
      </x:c>
    </x:row>
    <x:row r="9" ht="43.5" customHeight="1">
      <x:c r="A9" s="18" t="str">
        <x:v>TC-PROF-004</x:v>
      </x:c>
      <x:c r="B9" s="18" t="str">
        <x:v>User Profile</x:v>
      </x:c>
      <x:c r="C9" s="17" t="str">
        <x:v>Profile Loading Message</x:v>
      </x:c>
      <x:c r="D9" s="17" t="str">
        <x:v>Slow network or delayed backend.</x:v>
      </x:c>
      <x:c r="E9" s="17" t="str">
        <x:v>1. Open profile page. 2. Observe screen before data loads.</x:v>
      </x:c>
      <x:c r="F9" s="17" t="str">
        <x:v>Standard QA test data</x:v>
      </x:c>
      <x:c r="G9" s="17" t="str">
        <x:v>Loading profile... is displayed.</x:v>
      </x:c>
      <x:c r="H9" s="17" t="str">
        <x:v>As expected</x:v>
      </x:c>
      <x:c r="I9" s="20" t="str">
        <x:v>Pass</x:v>
      </x:c>
      <x:c r="J9" s="20" t="str">
        <x:v>Low</x:v>
      </x:c>
      <x:c r="K9" s="17" t="str">
        <x:v>Original Excel: ProfilePage.jsx shows loading state.</x:v>
      </x:c>
    </x:row>
    <x:row r="10" ht="43.5" customHeight="1">
      <x:c r="A10" s="18" t="str">
        <x:v>TC-PROF-005</x:v>
      </x:c>
      <x:c r="B10" s="18" t="str">
        <x:v>User Profile</x:v>
      </x:c>
      <x:c r="C10" s="17" t="str">
        <x:v>Update Profile Name</x:v>
      </x:c>
      <x:c r="D10" s="17" t="str">
        <x:v>User is logged in.</x:v>
      </x:c>
      <x:c r="E10" s="17" t="str">
        <x:v>1. Open profile page. 2. Change full name. 3. Click Save changes.</x:v>
      </x:c>
      <x:c r="F10" s="17" t="str">
        <x:v>Standard QA test data</x:v>
      </x:c>
      <x:c r="G10" s="17" t="str">
        <x:v>Profile updated message is shown and new name appears.</x:v>
      </x:c>
      <x:c r="H10" s="17" t="str">
        <x:v>As expected</x:v>
      </x:c>
      <x:c r="I10" s="20" t="str">
        <x:v>Pass</x:v>
      </x:c>
      <x:c r="J10" s="20" t="str">
        <x:v>Low</x:v>
      </x:c>
      <x:c r="K10" s="17" t="str">
        <x:v>Original Excel: PUT /api/auth/profile updates name.</x:v>
      </x:c>
    </x:row>
    <x:row r="11" ht="43.5" customHeight="1">
      <x:c r="A11" s="18" t="str">
        <x:v>TC-PROF-006</x:v>
      </x:c>
      <x:c r="B11" s="18" t="str">
        <x:v>User Profile</x:v>
      </x:c>
      <x:c r="C11" s="17" t="str">
        <x:v>Update Profile Email</x:v>
      </x:c>
      <x:c r="D11" s="17" t="str">
        <x:v>User is logged in. New email is unique.</x:v>
      </x:c>
      <x:c r="E11" s="17" t="str">
        <x:v>1. Open profile page. 2. Change email. 3. Save changes.</x:v>
      </x:c>
      <x:c r="F11" s="17" t="str">
        <x:v>Standard QA test data</x:v>
      </x:c>
      <x:c r="G11" s="17" t="str">
        <x:v>Email updates and user remains logged in.</x:v>
      </x:c>
      <x:c r="H11" s="17" t="str">
        <x:v>As expected</x:v>
      </x:c>
      <x:c r="I11" s="20" t="str">
        <x:v>Pass</x:v>
      </x:c>
      <x:c r="J11" s="20" t="str">
        <x:v>Low</x:v>
      </x:c>
      <x:c r="K11" s="17" t="str">
        <x:v>Original Excel: AuthServiceImpl.updateProfile returns new JWT token after email update.</x:v>
      </x:c>
    </x:row>
    <x:row r="12" ht="43.5" customHeight="1">
      <x:c r="A12" s="18" t="str">
        <x:v>TC-PROF-007</x:v>
      </x:c>
      <x:c r="B12" s="18" t="str">
        <x:v>User Profile</x:v>
      </x:c>
      <x:c r="C12" s="17" t="str">
        <x:v>Update With Empty Name</x:v>
      </x:c>
      <x:c r="D12" s="17" t="str">
        <x:v>User is logged in.</x:v>
      </x:c>
      <x:c r="E12" s="17" t="str">
        <x:v>1. Open profile page. 2. Clear full name. 3. Save changes.</x:v>
      </x:c>
      <x:c r="F12" s="17" t="str">
        <x:v>Standard QA test data</x:v>
      </x:c>
      <x:c r="G12" s="17" t="str">
        <x:v>Name is required message is shown.</x:v>
      </x:c>
      <x:c r="H12" s="17" t="str">
        <x:v>As expected</x:v>
      </x:c>
      <x:c r="I12" s="20" t="str">
        <x:v>Pass</x:v>
      </x:c>
      <x:c r="J12" s="20" t="str">
        <x:v>Low</x:v>
      </x:c>
      <x:c r="K12" s="17" t="str">
        <x:v>Original Excel: UpdateProfileRequest has @NotBlank on name.</x:v>
      </x:c>
    </x:row>
    <x:row r="13" ht="43.5" customHeight="1">
      <x:c r="A13" s="18" t="str">
        <x:v>TC-PROF-008</x:v>
      </x:c>
      <x:c r="B13" s="18" t="str">
        <x:v>User Profile</x:v>
      </x:c>
      <x:c r="C13" s="17" t="str">
        <x:v>Update With Empty Email</x:v>
      </x:c>
      <x:c r="D13" s="17" t="str">
        <x:v>User is logged in.</x:v>
      </x:c>
      <x:c r="E13" s="17" t="str">
        <x:v>1. Open profile page. 2. Clear email. 3. Save changes.</x:v>
      </x:c>
      <x:c r="F13" s="17" t="str">
        <x:v>Standard QA test data</x:v>
      </x:c>
      <x:c r="G13" s="17" t="str">
        <x:v>Email is required message is shown.</x:v>
      </x:c>
      <x:c r="H13" s="17" t="str">
        <x:v>As expected</x:v>
      </x:c>
      <x:c r="I13" s="20" t="str">
        <x:v>Pass</x:v>
      </x:c>
      <x:c r="J13" s="20" t="str">
        <x:v>Low</x:v>
      </x:c>
      <x:c r="K13" s="17" t="str">
        <x:v>Original Excel: UpdateProfileRequest has @NotBlank on email.</x:v>
      </x:c>
    </x:row>
    <x:row r="14" ht="43.5" customHeight="1">
      <x:c r="A14" s="18" t="str">
        <x:v>TC-PROF-009</x:v>
      </x:c>
      <x:c r="B14" s="18" t="str">
        <x:v>User Profile</x:v>
      </x:c>
      <x:c r="C14" s="17" t="str">
        <x:v>Update With Invalid Email</x:v>
      </x:c>
      <x:c r="D14" s="17" t="str">
        <x:v>User is logged in.</x:v>
      </x:c>
      <x:c r="E14" s="17" t="str">
        <x:v>1. Enter wrong email format. 2. Save changes.</x:v>
      </x:c>
      <x:c r="F14" s="17" t="str">
        <x:v>Email: abc</x:v>
      </x:c>
      <x:c r="G14" s="17" t="str">
        <x:v>Email must be valid message is shown or browser blocks submit.</x:v>
      </x:c>
      <x:c r="H14" s="17" t="str">
        <x:v>As expected</x:v>
      </x:c>
      <x:c r="I14" s="20" t="str">
        <x:v>Pass</x:v>
      </x:c>
      <x:c r="J14" s="20" t="str">
        <x:v>Low</x:v>
      </x:c>
      <x:c r="K14" s="17" t="str">
        <x:v>Original Excel: UpdateProfileRequest has @Email and input type=email.</x:v>
      </x:c>
    </x:row>
    <x:row r="15" ht="43.5" customHeight="1">
      <x:c r="A15" s="18" t="str">
        <x:v>TC-PROF-010</x:v>
      </x:c>
      <x:c r="B15" s="18" t="str">
        <x:v>User Profile</x:v>
      </x:c>
      <x:c r="C15" s="17" t="str">
        <x:v>Update With Duplicate Email</x:v>
      </x:c>
      <x:c r="D15" s="17" t="str">
        <x:v>Two users exist.</x:v>
      </x:c>
      <x:c r="E15" s="17" t="str">
        <x:v>1. Login as first user. 2. Enter second user email in profile. 3. Save.</x:v>
      </x:c>
      <x:c r="F15" s="17" t="str">
        <x:v>Email: existing.user@example.com</x:v>
      </x:c>
      <x:c r="G15" s="17" t="str">
        <x:v>Email already in use error is shown.</x:v>
      </x:c>
      <x:c r="H15" s="17" t="str">
        <x:v>As expected</x:v>
      </x:c>
      <x:c r="I15" s="20" t="str">
        <x:v>Pass</x:v>
      </x:c>
      <x:c r="J15" s="20" t="str">
        <x:v>Low</x:v>
      </x:c>
      <x:c r="K15" s="17" t="str">
        <x:v>Original Excel: AuthServiceImpl.updateProfile checks duplicate email.</x:v>
      </x:c>
    </x:row>
    <x:row r="16" ht="43.5" customHeight="1">
      <x:c r="A16" s="18" t="str">
        <x:v>TC-PROF-011</x:v>
      </x:c>
      <x:c r="B16" s="18" t="str">
        <x:v>User Profile</x:v>
      </x:c>
      <x:c r="C16" s="17" t="str">
        <x:v>Change Password</x:v>
      </x:c>
      <x:c r="D16" s="17" t="str">
        <x:v>User is logged in and knows current password.</x:v>
      </x:c>
      <x:c r="E16" s="17" t="str">
        <x:v>1. Enter current password. 2. Enter new password. 3. Click Save changes. 4. Logout and login with new password.</x:v>
      </x:c>
      <x:c r="F16" s="17" t="str">
        <x:v>Standard QA test data</x:v>
      </x:c>
      <x:c r="G16" s="17" t="str">
        <x:v>Password changes and login works with new password.</x:v>
      </x:c>
      <x:c r="H16" s="17" t="str">
        <x:v>As expected</x:v>
      </x:c>
      <x:c r="I16" s="20" t="str">
        <x:v>Pass</x:v>
      </x:c>
      <x:c r="J16" s="24" t="str">
        <x:v>High</x:v>
      </x:c>
      <x:c r="K16" s="17" t="str">
        <x:v>Original Excel: AuthServiceImpl checks current password before encoding new password.</x:v>
      </x:c>
    </x:row>
    <x:row r="17" ht="43.5" customHeight="1">
      <x:c r="A17" s="18" t="str">
        <x:v>TC-PROF-012</x:v>
      </x:c>
      <x:c r="B17" s="18" t="str">
        <x:v>User Profile</x:v>
      </x:c>
      <x:c r="C17" s="17" t="str">
        <x:v>Change Password With Wrong Current Password</x:v>
      </x:c>
      <x:c r="D17" s="17" t="str">
        <x:v>User is logged in.</x:v>
      </x:c>
      <x:c r="E17" s="17" t="str">
        <x:v>1. Enter wrong current password. 2. Enter new password. 3. Save.</x:v>
      </x:c>
      <x:c r="F17" s="17" t="str">
        <x:v>Standard QA test data</x:v>
      </x:c>
      <x:c r="G17" s="17" t="str">
        <x:v>Current password is incorrect error is shown.</x:v>
      </x:c>
      <x:c r="H17" s="17" t="str">
        <x:v>As expected</x:v>
      </x:c>
      <x:c r="I17" s="20" t="str">
        <x:v>Pass</x:v>
      </x:c>
      <x:c r="J17" s="24" t="str">
        <x:v>High</x:v>
      </x:c>
      <x:c r="K17" s="17" t="str">
        <x:v>Original Excel: AuthServiceImpl uses passwordEncoder.matches.</x:v>
      </x:c>
    </x:row>
    <x:row r="18" ht="43.5" customHeight="1">
      <x:c r="A18" s="18" t="str">
        <x:v>TC-PROF-013</x:v>
      </x:c>
      <x:c r="B18" s="18" t="str">
        <x:v>User Profile</x:v>
      </x:c>
      <x:c r="C18" s="17" t="str">
        <x:v>Change Password Without Current Password</x:v>
      </x:c>
      <x:c r="D18" s="17" t="str">
        <x:v>User is logged in.</x:v>
      </x:c>
      <x:c r="E18" s="17" t="str">
        <x:v>1. Leave current password empty. 2. Enter new password. 3. Save.</x:v>
      </x:c>
      <x:c r="F18" s="17" t="str">
        <x:v>Standard QA test data</x:v>
      </x:c>
      <x:c r="G18" s="17" t="str">
        <x:v>Current password is incorrect error is shown.</x:v>
      </x:c>
      <x:c r="H18" s="17" t="str">
        <x:v>As expected</x:v>
      </x:c>
      <x:c r="I18" s="20" t="str">
        <x:v>Pass</x:v>
      </x:c>
      <x:c r="J18" s="24" t="str">
        <x:v>High</x:v>
      </x:c>
      <x:c r="K18" s="17" t="str">
        <x:v>Original Excel: Backend rejects newPassword when currentPassword is empty.</x:v>
      </x:c>
    </x:row>
    <x:row r="19" ht="43.5" customHeight="1">
      <x:c r="A19" s="18" t="str">
        <x:v>TC-PROF-014</x:v>
      </x:c>
      <x:c r="B19" s="18" t="str">
        <x:v>User Profile</x:v>
      </x:c>
      <x:c r="C19" s="17" t="str">
        <x:v>Short New Password</x:v>
      </x:c>
      <x:c r="D19" s="17" t="str">
        <x:v>User is logged in.</x:v>
      </x:c>
      <x:c r="E19" s="17" t="str">
        <x:v>1. Enter current password. 2. Enter new password less than 6 characters. 3. Save.</x:v>
      </x:c>
      <x:c r="F19" s="17" t="str">
        <x:v>Standard QA test data</x:v>
      </x:c>
      <x:c r="G19" s="17" t="str">
        <x:v>New password must be at least 6 characters message is shown.</x:v>
      </x:c>
      <x:c r="H19" s="17" t="str">
        <x:v>As expected</x:v>
      </x:c>
      <x:c r="I19" s="20" t="str">
        <x:v>Pass</x:v>
      </x:c>
      <x:c r="J19" s="24" t="str">
        <x:v>High</x:v>
      </x:c>
      <x:c r="K19" s="17" t="str">
        <x:v>Original Excel: UpdateProfileRequest.newPassword has @Size(min = 6).</x:v>
      </x:c>
    </x:row>
    <x:row r="20" ht="43.5" customHeight="1">
      <x:c r="A20" s="18" t="str">
        <x:v>TC-PROF-015</x:v>
      </x:c>
      <x:c r="B20" s="18" t="str">
        <x:v>User Profile</x:v>
      </x:c>
      <x:c r="C20" s="17" t="str">
        <x:v>Update Profile Without Password Change</x:v>
      </x:c>
      <x:c r="D20" s="17" t="str">
        <x:v>User is logged in.</x:v>
      </x:c>
      <x:c r="E20" s="17" t="str">
        <x:v>1. Edit name or email. 2. Leave password fields blank. 3. Save.</x:v>
      </x:c>
      <x:c r="F20" s="17" t="str">
        <x:v>Standard QA test data</x:v>
      </x:c>
      <x:c r="G20" s="17" t="str">
        <x:v>Profile updates and old password still works.</x:v>
      </x:c>
      <x:c r="H20" s="17" t="str">
        <x:v>As expected</x:v>
      </x:c>
      <x:c r="I20" s="20" t="str">
        <x:v>Pass</x:v>
      </x:c>
      <x:c r="J20" s="24" t="str">
        <x:v>High</x:v>
      </x:c>
      <x:c r="K20" s="17" t="str">
        <x:v>Original Excel: Password is changed only if newPassword has text.</x:v>
      </x:c>
    </x:row>
    <x:row r="21" ht="43.5" customHeight="1">
      <x:c r="A21" s="18" t="str">
        <x:v>TC-PROF-016</x:v>
      </x:c>
      <x:c r="B21" s="18" t="str">
        <x:v>User Profile</x:v>
      </x:c>
      <x:c r="C21" s="17" t="str">
        <x:v>Reset Button</x:v>
      </x:c>
      <x:c r="D21" s="17" t="str">
        <x:v>User is on profile page.</x:v>
      </x:c>
      <x:c r="E21" s="17" t="str">
        <x:v>1. Change name and email in form. 2. Click Reset.</x:v>
      </x:c>
      <x:c r="F21" s="17" t="str">
        <x:v>Standard QA test data</x:v>
      </x:c>
      <x:c r="G21" s="17" t="str">
        <x:v>Name and email return to saved values and password fields clear.</x:v>
      </x:c>
      <x:c r="H21" s="17" t="str">
        <x:v>As expected</x:v>
      </x:c>
      <x:c r="I21" s="20" t="str">
        <x:v>Pass</x:v>
      </x:c>
      <x:c r="J21" s="24" t="str">
        <x:v>High</x:v>
      </x:c>
      <x:c r="K21" s="17" t="str">
        <x:v>Original Excel: ProfilePage.jsx reset button uses emptyForm and profile values.</x:v>
      </x:c>
    </x:row>
    <x:row r="22" ht="43.5" customHeight="1">
      <x:c r="A22" s="18" t="str">
        <x:v>TC-PROF-017</x:v>
      </x:c>
      <x:c r="B22" s="18" t="str">
        <x:v>User Profile</x:v>
      </x:c>
      <x:c r="C22" s="17" t="str">
        <x:v>Show Current Password Eye Button</x:v>
      </x:c>
      <x:c r="D22" s="17" t="str">
        <x:v>User is on profile page.</x:v>
      </x:c>
      <x:c r="E22" s="17" t="str">
        <x:v>1. Type current password. 2. Click eye button.</x:v>
      </x:c>
      <x:c r="F22" s="17" t="str">
        <x:v>Standard QA test data</x:v>
      </x:c>
      <x:c r="G22" s="17" t="str">
        <x:v>Password becomes visible. Clicking again hides it.</x:v>
      </x:c>
      <x:c r="H22" s="17" t="str">
        <x:v>As expected</x:v>
      </x:c>
      <x:c r="I22" s="20" t="str">
        <x:v>Pass</x:v>
      </x:c>
      <x:c r="J22" s="24" t="str">
        <x:v>High</x:v>
      </x:c>
      <x:c r="K22" s="17" t="str">
        <x:v>Original Excel: ProfilePage.jsx uses visiblePasswords.currentPassword.</x:v>
      </x:c>
    </x:row>
    <x:row r="23" ht="43.5" customHeight="1">
      <x:c r="A23" s="18" t="str">
        <x:v>TC-PROF-018</x:v>
      </x:c>
      <x:c r="B23" s="18" t="str">
        <x:v>User Profile</x:v>
      </x:c>
      <x:c r="C23" s="17" t="str">
        <x:v>Show New Password Eye Button</x:v>
      </x:c>
      <x:c r="D23" s="17" t="str">
        <x:v>User is on profile page.</x:v>
      </x:c>
      <x:c r="E23" s="17" t="str">
        <x:v>1. Type new password. 2. Click eye button.</x:v>
      </x:c>
      <x:c r="F23" s="17" t="str">
        <x:v>Standard QA test data</x:v>
      </x:c>
      <x:c r="G23" s="17" t="str">
        <x:v>Password becomes visible. Clicking again hides it.</x:v>
      </x:c>
      <x:c r="H23" s="17" t="str">
        <x:v>As expected</x:v>
      </x:c>
      <x:c r="I23" s="20" t="str">
        <x:v>Pass</x:v>
      </x:c>
      <x:c r="J23" s="24" t="str">
        <x:v>High</x:v>
      </x:c>
      <x:c r="K23" s="17" t="str">
        <x:v>Original Excel: ProfilePage.jsx uses visiblePasswords.newPassword.</x:v>
      </x:c>
    </x:row>
    <x:row r="24" ht="43.5" customHeight="1">
      <x:c r="A24" s="18" t="str">
        <x:v>TC-PROF-019</x:v>
      </x:c>
      <x:c r="B24" s="18" t="str">
        <x:v>User Profile</x:v>
      </x:c>
      <x:c r="C24" s="17" t="str">
        <x:v>Profile Mobile Layout</x:v>
      </x:c>
      <x:c r="D24" s="17" t="str">
        <x:v>User is logged in.</x:v>
      </x:c>
      <x:c r="E24" s="17" t="str">
        <x:v>1. Open profile page. 2. Resize browser to mobile width.</x:v>
      </x:c>
      <x:c r="F24" s="17" t="str">
        <x:v>Standard QA test data</x:v>
      </x:c>
      <x:c r="G24" s="17" t="str">
        <x:v>Profile sections stack one below another.</x:v>
      </x:c>
      <x:c r="H24" s="17" t="str">
        <x:v>As expected</x:v>
      </x:c>
      <x:c r="I24" s="20" t="str">
        <x:v>Pass</x:v>
      </x:c>
      <x:c r="J24" s="20" t="str">
        <x:v>Low</x:v>
      </x:c>
      <x:c r="K24" s="17" t="str">
        <x:v>Original Excel: profile.module.css has max-width 860px media query.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4361d6077e44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0" hidden="0" customWidth="1"/>
    <x:col min="5" max="5" width="44" hidden="0" customWidth="1"/>
    <x:col min="6" max="6" width="28" hidden="0" customWidth="1"/>
    <x:col min="7" max="7" width="40" hidden="0" customWidth="1"/>
    <x:col min="8" max="8" width="24" hidden="0" customWidth="1"/>
    <x:col min="9" max="9" width="13" hidden="0" customWidth="1"/>
    <x:col min="10" max="10" width="12" hidden="0" customWidth="1"/>
    <x:col min="11" max="11" width="34" hidden="0" customWidth="1"/>
  </x:cols>
  <x:sheetData>
    <x:row r="1" ht="27" customHeight="1">
      <x:c r="A1" s="4" t="str">
        <x:v>Ecommerce QA Test Cases - Order Management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Project</x:v>
      </x:c>
      <x:c r="B2" s="7" t="str">
        <x:v>Ecommerce Fullstack QA</x:v>
      </x:c>
      <x:c r="C2" s="7" t="str"/>
      <x:c r="D2" s="8" t="str">
        <x:v>Module</x:v>
      </x:c>
      <x:c r="E2" s="7" t="str">
        <x:v>Order Management</x:v>
      </x:c>
      <x:c r="F2" s="7" t="str"/>
      <x:c r="G2" s="8" t="str">
        <x:v>Prepared For</x:v>
      </x:c>
      <x:c r="H2" s="7" t="str">
        <x:v>Interview / Portfolio / Real QA Usage</x:v>
      </x:c>
      <x:c r="I2" s="7" t="str"/>
      <x:c r="J2" s="8" t="str">
        <x:v>Updated</x:v>
      </x:c>
      <x:c r="K2" s="9" t="n">
        <x:v>46170.693775127314</x:v>
      </x:c>
    </x:row>
    <x:row r="3">
      <x:c r="A3" s="8" t="str">
        <x:v>Format</x:v>
      </x:c>
      <x:c r="B3" s="7" t="str">
        <x:v>QA Industry Standard</x:v>
      </x:c>
      <x:c r="C3" s="7" t="str"/>
      <x:c r="D3" s="8" t="str">
        <x:v>Execution</x:v>
      </x:c>
      <x:c r="E3" s="7" t="str">
        <x:v>Manual + Automation Ready</x:v>
      </x:c>
      <x:c r="F3" s="7" t="str"/>
      <x:c r="G3" s="8" t="str">
        <x:v>Legend</x:v>
      </x:c>
      <x:c r="H3" s="7" t="str">
        <x:v>Priority and status are color-coded</x:v>
      </x:c>
      <x:c r="I3" s="7" t="str"/>
      <x:c r="J3" s="8" t="str">
        <x:v>Owner</x:v>
      </x:c>
      <x:c r="K3" s="7" t="str">
        <x:v>QA Team</x:v>
      </x:c>
    </x:row>
    <x:row r="5" ht="24" customHeight="1">
      <x:c r="A5" s="14" t="str">
        <x:v>Test Case ID</x:v>
      </x:c>
      <x:c r="B5" s="14" t="str">
        <x:v>Module</x:v>
      </x:c>
      <x:c r="C5" s="14" t="str">
        <x:v>Test Scenario</x:v>
      </x:c>
      <x:c r="D5" s="14" t="str">
        <x:v>Preconditions</x:v>
      </x:c>
      <x:c r="E5" s="14" t="str">
        <x:v>Test Steps</x:v>
      </x:c>
      <x:c r="F5" s="14" t="str">
        <x:v>Test Data</x:v>
      </x:c>
      <x:c r="G5" s="14" t="str">
        <x:v>Expected Result</x:v>
      </x:c>
      <x:c r="H5" s="14" t="str">
        <x:v>Actual Result</x:v>
      </x:c>
      <x:c r="I5" s="14" t="str">
        <x:v>Status</x:v>
      </x:c>
      <x:c r="J5" s="14" t="str">
        <x:v>Priority</x:v>
      </x:c>
      <x:c r="K5" s="14" t="str">
        <x:v>Remarks</x:v>
      </x:c>
    </x:row>
    <x:row r="6" ht="43.5" customHeight="1">
      <x:c r="A6" s="18" t="str">
        <x:v>TC-ORD-001</x:v>
      </x:c>
      <x:c r="B6" s="18" t="str">
        <x:v>Order Management</x:v>
      </x:c>
      <x:c r="C6" s="17" t="str">
        <x:v>Order confirmation validation</x:v>
      </x:c>
      <x:c r="D6" s="17" t="str">
        <x:v>Checkout completed successfully</x:v>
      </x:c>
      <x:c r="E6" s="17" t="str">
        <x:v>1. Open confirmation page. 2. Verify order ID, amount, product list, and address.</x:v>
      </x:c>
      <x:c r="F6" s="17" t="str">
        <x:v>Latest order</x:v>
      </x:c>
      <x:c r="G6" s="17" t="str">
        <x:v>Order confirmation details match checkout details.</x:v>
      </x:c>
      <x:c r="H6" s="17" t="str"/>
      <x:c r="I6" s="22" t="str">
        <x:v>Pending</x:v>
      </x:c>
      <x:c r="J6" s="24" t="str">
        <x:v>High</x:v>
      </x:c>
      <x:c r="K6" s="17" t="str">
        <x:v>Order module.</x:v>
      </x:c>
    </x:row>
    <x:row r="7" ht="43.5" customHeight="1">
      <x:c r="A7" s="18" t="str">
        <x:v>TC-ORD-002</x:v>
      </x:c>
      <x:c r="B7" s="18" t="str">
        <x:v>Order Management</x:v>
      </x:c>
      <x:c r="C7" s="17" t="str">
        <x:v>Order history validation</x:v>
      </x:c>
      <x:c r="D7" s="17" t="str">
        <x:v>User has previous orders</x:v>
      </x:c>
      <x:c r="E7" s="17" t="str">
        <x:v>1. Open order history. 2. Verify status, amount, date, and details link.</x:v>
      </x:c>
      <x:c r="F7" s="17" t="str">
        <x:v>qa.user@example.com</x:v>
      </x:c>
      <x:c r="G7" s="17" t="str">
        <x:v>Order history displays accurate order records.</x:v>
      </x:c>
      <x:c r="H7" s="17" t="str">
        <x:v>As expected</x:v>
      </x:c>
      <x:c r="I7" s="20" t="str">
        <x:v>Pass</x:v>
      </x:c>
      <x:c r="J7" s="22" t="str">
        <x:v>Medium</x:v>
      </x:c>
      <x:c r="K7" s="17" t="str">
        <x:v>Order module.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8fe0401fc649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42" hidden="0" customWidth="1"/>
    <x:col min="5" max="5" width="28" hidden="0" customWidth="1"/>
    <x:col min="6" max="6" width="48" hidden="0" customWidth="1"/>
    <x:col min="7" max="7" width="42" hidden="0" customWidth="1"/>
    <x:col min="8" max="8" width="16" hidden="0" customWidth="1"/>
    <x:col min="9" max="9" width="44" hidden="0" customWidth="1"/>
  </x:cols>
  <x:sheetData>
    <x:row r="1" ht="27" customHeight="1">
      <x:c r="A1" s="4" t="str">
        <x:v>Original Test Cases From Provided Excel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7" t="str">
        <x:v>Original ID</x:v>
      </x:c>
      <x:c r="B3" s="27" t="str">
        <x:v>Source Module/Category</x:v>
      </x:c>
      <x:c r="C3" s="27" t="str">
        <x:v>Test Case Name</x:v>
      </x:c>
      <x:c r="D3" s="27" t="str">
        <x:v>Objective</x:v>
      </x:c>
      <x:c r="E3" s="27" t="str">
        <x:v>Prerequisites</x:v>
      </x:c>
      <x:c r="F3" s="27" t="str">
        <x:v>Test Steps</x:v>
      </x:c>
      <x:c r="G3" s="27" t="str">
        <x:v>Expected Result</x:v>
      </x:c>
      <x:c r="H3" s="27" t="str">
        <x:v>Actual Result</x:v>
      </x:c>
      <x:c r="I3" s="27" t="str">
        <x:v>Comments</x:v>
      </x:c>
    </x:row>
    <x:row r="4" ht="39" customHeight="1">
      <x:c r="A4" s="31" t="str">
        <x:v>SRC-001</x:v>
      </x:c>
      <x:c r="B4" s="31" t="str">
        <x:v>1. User Authentication &amp; Profile Management</x:v>
      </x:c>
      <x:c r="C4" s="31" t="str">
        <x:v>User Registration</x:v>
      </x:c>
      <x:c r="D4" s="31" t="str">
        <x:v>Check that a new user can sign up with a unique email.</x:v>
      </x:c>
      <x:c r="E4" s="31" t="str">
        <x:v>A unique email not already used.</x:v>
      </x:c>
      <x:c r="F4" s="31" t="str">
        <x:v>1. Open register page. 2. Enter name, email, and password. 3. Click Create account.</x:v>
      </x:c>
      <x:c r="G4" s="31" t="str">
        <x:v>Account is created and user goes to dashboard.</x:v>
      </x:c>
      <x:c r="H4" s="31" t="str">
        <x:v>Pass</x:v>
      </x:c>
      <x:c r="I4" s="31" t="str">
        <x:v>RegisterPage.jsx uses POST /api/auth/register.</x:v>
      </x:c>
    </x:row>
    <x:row r="5" ht="39" customHeight="1">
      <x:c r="A5" s="31" t="str">
        <x:v>SRC-002</x:v>
      </x:c>
      <x:c r="B5" s="31" t="str">
        <x:v>1. User Authentication &amp; Profile Management</x:v>
      </x:c>
      <x:c r="C5" s="31" t="str">
        <x:v>Register With Empty Name</x:v>
      </x:c>
      <x:c r="D5" s="31" t="str">
        <x:v>Check that name is required while creating account.</x:v>
      </x:c>
      <x:c r="E5" s="31" t="str">
        <x:v>None.</x:v>
      </x:c>
      <x:c r="F5" s="31" t="str">
        <x:v>1. Open register page. 2. Leave name empty. 3. Fill email and password. 4. Click Create account.</x:v>
      </x:c>
      <x:c r="G5" s="31" t="str">
        <x:v>Name is required message is shown.</x:v>
      </x:c>
      <x:c r="H5" s="31" t="str">
        <x:v>Pass</x:v>
      </x:c>
      <x:c r="I5" s="31" t="str">
        <x:v>RegisterRequest has @NotBlank on name.</x:v>
      </x:c>
    </x:row>
    <x:row r="6" ht="39" customHeight="1">
      <x:c r="A6" s="31" t="str">
        <x:v>SRC-003</x:v>
      </x:c>
      <x:c r="B6" s="31" t="str">
        <x:v>1. User Authentication &amp; Profile Management</x:v>
      </x:c>
      <x:c r="C6" s="31" t="str">
        <x:v>Register With Empty Email</x:v>
      </x:c>
      <x:c r="D6" s="31" t="str">
        <x:v>Check that email is required while creating account.</x:v>
      </x:c>
      <x:c r="E6" s="31" t="str">
        <x:v>None.</x:v>
      </x:c>
      <x:c r="F6" s="31" t="str">
        <x:v>1. Open register page. 2. Fill name and password. 3. Leave email empty. 4. Click Create account.</x:v>
      </x:c>
      <x:c r="G6" s="31" t="str">
        <x:v>Email is required message is shown.</x:v>
      </x:c>
      <x:c r="H6" s="31" t="str">
        <x:v>Pass</x:v>
      </x:c>
      <x:c r="I6" s="31" t="str">
        <x:v>RegisterRequest has @NotBlank on email.</x:v>
      </x:c>
    </x:row>
    <x:row r="7" ht="39" customHeight="1">
      <x:c r="A7" s="31" t="str">
        <x:v>SRC-004</x:v>
      </x:c>
      <x:c r="B7" s="31" t="str">
        <x:v>1. User Authentication &amp; Profile Management</x:v>
      </x:c>
      <x:c r="C7" s="31" t="str">
        <x:v>Register With Invalid Email</x:v>
      </x:c>
      <x:c r="D7" s="31" t="str">
        <x:v>Check that wrong email format is rejected.</x:v>
      </x:c>
      <x:c r="E7" s="31" t="str">
        <x:v>None.</x:v>
      </x:c>
      <x:c r="F7" s="31" t="str">
        <x:v>1. Open register page. 2. Enter abc as email. 3. Fill other fields. 4. Submit.</x:v>
      </x:c>
      <x:c r="G7" s="31" t="str">
        <x:v>Email must be valid message is shown.</x:v>
      </x:c>
      <x:c r="H7" s="31" t="str">
        <x:v>Pass</x:v>
      </x:c>
      <x:c r="I7" s="31" t="str">
        <x:v>RegisterRequest has @Email validation.</x:v>
      </x:c>
    </x:row>
    <x:row r="8" ht="39" customHeight="1">
      <x:c r="A8" s="31" t="str">
        <x:v>SRC-005</x:v>
      </x:c>
      <x:c r="B8" s="31" t="str">
        <x:v>1. User Authentication &amp; Profile Management</x:v>
      </x:c>
      <x:c r="C8" s="31" t="str">
        <x:v>Register With Short Password</x:v>
      </x:c>
      <x:c r="D8" s="31" t="str">
        <x:v>Check that short password is rejected.</x:v>
      </x:c>
      <x:c r="E8" s="31" t="str">
        <x:v>None.</x:v>
      </x:c>
      <x:c r="F8" s="31" t="str">
        <x:v>1. Open register page. 2. Enter password less than 6 characters. 3. Submit.</x:v>
      </x:c>
      <x:c r="G8" s="31" t="str">
        <x:v>Password must be at least 6 characters message is shown.</x:v>
      </x:c>
      <x:c r="H8" s="31" t="str">
        <x:v>Pass</x:v>
      </x:c>
      <x:c r="I8" s="31" t="str">
        <x:v>RegisterRequest has @Size(min = 6).</x:v>
      </x:c>
    </x:row>
    <x:row r="9" ht="39" customHeight="1">
      <x:c r="A9" s="31" t="str">
        <x:v>SRC-006</x:v>
      </x:c>
      <x:c r="B9" s="31" t="str">
        <x:v>1. User Authentication &amp; Profile Management</x:v>
      </x:c>
      <x:c r="C9" s="31" t="str">
        <x:v>Register With Duplicate Email</x:v>
      </x:c>
      <x:c r="D9" s="31" t="str">
        <x:v>Check that same email cannot be registered again.</x:v>
      </x:c>
      <x:c r="E9" s="31" t="str">
        <x:v>A user already exists with same email.</x:v>
      </x:c>
      <x:c r="F9" s="31" t="str">
        <x:v>1. Open register page. 2. Enter existing email. 3. Submit form.</x:v>
      </x:c>
      <x:c r="G9" s="31" t="str">
        <x:v>Email already in use error is shown.</x:v>
      </x:c>
      <x:c r="H9" s="31" t="str">
        <x:v>Pass</x:v>
      </x:c>
      <x:c r="I9" s="31" t="str">
        <x:v>AuthServiceImpl.register checks UserRepository.findByEmail.</x:v>
      </x:c>
    </x:row>
    <x:row r="10" ht="39" customHeight="1">
      <x:c r="A10" s="31" t="str">
        <x:v>SRC-007</x:v>
      </x:c>
      <x:c r="B10" s="31" t="str">
        <x:v>1. User Authentication &amp; Profile Management</x:v>
      </x:c>
      <x:c r="C10" s="31" t="str">
        <x:v>Password Saved As Hash</x:v>
      </x:c>
      <x:c r="D10" s="31" t="str">
        <x:v>Check that password is not saved as plain text.</x:v>
      </x:c>
      <x:c r="E10" s="31" t="str">
        <x:v>A user is registered.</x:v>
      </x:c>
      <x:c r="F10" s="31" t="str">
        <x:v>1. Open MySQL Workbench. 2. Run select query on users table. 3. Check password column.</x:v>
      </x:c>
      <x:c r="G10" s="31" t="str">
        <x:v>Password is saved as BCrypt hash.</x:v>
      </x:c>
      <x:c r="H10" s="31" t="str">
        <x:v>Pass</x:v>
      </x:c>
      <x:c r="I10" s="31" t="str">
        <x:v>SecurityConfig uses BCryptPasswordEncoder.</x:v>
      </x:c>
    </x:row>
    <x:row r="11" ht="39" customHeight="1">
      <x:c r="A11" s="31" t="str">
        <x:v>SRC-008</x:v>
      </x:c>
      <x:c r="B11" s="31" t="str">
        <x:v>1. User Authentication &amp; Profile Management</x:v>
      </x:c>
      <x:c r="C11" s="31" t="str">
        <x:v>User Login</x:v>
      </x:c>
      <x:c r="D11" s="31" t="str">
        <x:v>Check that registered user can login.</x:v>
      </x:c>
      <x:c r="E11" s="31" t="str">
        <x:v>A registered user exists.</x:v>
      </x:c>
      <x:c r="F11" s="31" t="str">
        <x:v>1. Open login page. 2. Enter correct email and password. 3. Click Continue.</x:v>
      </x:c>
      <x:c r="G11" s="31" t="str">
        <x:v>Login succeeds and user goes to dashboard.</x:v>
      </x:c>
      <x:c r="H11" s="31" t="str">
        <x:v>Pass</x:v>
      </x:c>
      <x:c r="I11" s="31" t="str">
        <x:v>LoginPage.jsx calls /api/auth/login.</x:v>
      </x:c>
    </x:row>
    <x:row r="12" ht="39" customHeight="1">
      <x:c r="A12" s="31" t="str">
        <x:v>SRC-009</x:v>
      </x:c>
      <x:c r="B12" s="31" t="str">
        <x:v>1. User Authentication &amp; Profile Management</x:v>
      </x:c>
      <x:c r="C12" s="31" t="str">
        <x:v>Login With Wrong Password</x:v>
      </x:c>
      <x:c r="D12" s="31" t="str">
        <x:v>Make sure wrong password is rejected.</x:v>
      </x:c>
      <x:c r="E12" s="31" t="str">
        <x:v>A registered user exists.</x:v>
      </x:c>
      <x:c r="F12" s="31" t="str">
        <x:v>1. Open login page. 2. Enter valid email. 3. Type wrong password. 4. Click Continue.</x:v>
      </x:c>
      <x:c r="G12" s="31" t="str">
        <x:v>Login fails and error is shown.</x:v>
      </x:c>
      <x:c r="H12" s="31" t="str">
        <x:v>Pass</x:v>
      </x:c>
      <x:c r="I12" s="31" t="str">
        <x:v>AuthServiceImpl.login uses AuthenticationManager.</x:v>
      </x:c>
    </x:row>
    <x:row r="13" ht="39" customHeight="1">
      <x:c r="A13" s="31" t="str">
        <x:v>SRC-010</x:v>
      </x:c>
      <x:c r="B13" s="31" t="str">
        <x:v>1. User Authentication &amp; Profile Management</x:v>
      </x:c>
      <x:c r="C13" s="31" t="str">
        <x:v>Login With Empty Email</x:v>
      </x:c>
      <x:c r="D13" s="31" t="str">
        <x:v>Check that email is required on login.</x:v>
      </x:c>
      <x:c r="E13" s="31" t="str">
        <x:v>None.</x:v>
      </x:c>
      <x:c r="F13" s="31" t="str">
        <x:v>1. Open login page. 2. Leave email blank. 3. Enter password. 4. Submit.</x:v>
      </x:c>
      <x:c r="G13" s="31" t="str">
        <x:v>Email is required message is shown.</x:v>
      </x:c>
      <x:c r="H13" s="31" t="str">
        <x:v>Pass</x:v>
      </x:c>
      <x:c r="I13" s="31" t="str">
        <x:v>LoginRequest has @NotBlank on email.</x:v>
      </x:c>
    </x:row>
    <x:row r="14" ht="39" customHeight="1">
      <x:c r="A14" s="31" t="str">
        <x:v>SRC-011</x:v>
      </x:c>
      <x:c r="B14" s="31" t="str">
        <x:v>1. User Authentication &amp; Profile Management</x:v>
      </x:c>
      <x:c r="C14" s="31" t="str">
        <x:v>Login With Empty Password</x:v>
      </x:c>
      <x:c r="D14" s="31" t="str">
        <x:v>Check that password is required on login.</x:v>
      </x:c>
      <x:c r="E14" s="31" t="str">
        <x:v>None.</x:v>
      </x:c>
      <x:c r="F14" s="31" t="str">
        <x:v>1. Open login page. 2. Enter email. 3. Leave password blank. 4. Submit.</x:v>
      </x:c>
      <x:c r="G14" s="31" t="str">
        <x:v>Password is required message is shown.</x:v>
      </x:c>
      <x:c r="H14" s="31" t="str">
        <x:v>Pass</x:v>
      </x:c>
      <x:c r="I14" s="31" t="str">
        <x:v>LoginRequest has @NotBlank on password.</x:v>
      </x:c>
    </x:row>
    <x:row r="15" ht="39" customHeight="1">
      <x:c r="A15" s="31" t="str">
        <x:v>SRC-012</x:v>
      </x:c>
      <x:c r="B15" s="31" t="str">
        <x:v>1. User Authentication &amp; Profile Management</x:v>
      </x:c>
      <x:c r="C15" s="31" t="str">
        <x:v>Login With Invalid Email Format</x:v>
      </x:c>
      <x:c r="D15" s="31" t="str">
        <x:v>Check invalid email on login page.</x:v>
      </x:c>
      <x:c r="E15" s="31" t="str">
        <x:v>None.</x:v>
      </x:c>
      <x:c r="F15" s="31" t="str">
        <x:v>1. Open login page. 2. Enter abc in email field. 3. Enter password. 4. Submit.</x:v>
      </x:c>
      <x:c r="G15" s="31" t="str">
        <x:v>Email must be valid message is shown or browser blocks submit.</x:v>
      </x:c>
      <x:c r="H15" s="31" t="str">
        <x:v>Pass</x:v>
      </x:c>
      <x:c r="I15" s="31" t="str">
        <x:v>LoginRequest has @Email and input type is email.</x:v>
      </x:c>
    </x:row>
    <x:row r="16" ht="39" customHeight="1">
      <x:c r="A16" s="31" t="str">
        <x:v>SRC-013</x:v>
      </x:c>
      <x:c r="B16" s="31" t="str">
        <x:v>1. User Authentication &amp; Profile Management</x:v>
      </x:c>
      <x:c r="C16" s="31" t="str">
        <x:v>Login Backend Down</x:v>
      </x:c>
      <x:c r="D16" s="31" t="str">
        <x:v>Check login error when backend is not running.</x:v>
      </x:c>
      <x:c r="E16" s="31" t="str">
        <x:v>Backend server is stopped.</x:v>
      </x:c>
      <x:c r="F16" s="31" t="str">
        <x:v>1. Open login page. 2. Enter any details. 3. Click Continue.</x:v>
      </x:c>
      <x:c r="G16" s="31" t="str">
        <x:v>Backend server is not running on port 8081 message is shown.</x:v>
      </x:c>
      <x:c r="H16" s="31" t="str">
        <x:v>Pass</x:v>
      </x:c>
      <x:c r="I16" s="31" t="str">
        <x:v>LoginPage.jsx handles missing err.response.</x:v>
      </x:c>
    </x:row>
    <x:row r="17" ht="39" customHeight="1">
      <x:c r="A17" s="31" t="str">
        <x:v>SRC-014</x:v>
      </x:c>
      <x:c r="B17" s="31" t="str">
        <x:v>1. User Authentication &amp; Profile Management</x:v>
      </x:c>
      <x:c r="C17" s="31" t="str">
        <x:v>Session Persistence</x:v>
      </x:c>
      <x:c r="D17" s="31" t="str">
        <x:v>Verify user stays logged in after refresh.</x:v>
      </x:c>
      <x:c r="E17" s="31" t="str">
        <x:v>User is logged in.</x:v>
      </x:c>
      <x:c r="F17" s="31" t="str">
        <x:v>1. Open dashboard. 2. Refresh browser.</x:v>
      </x:c>
      <x:c r="G17" s="31" t="str">
        <x:v>User stays logged in and dashboard opens again.</x:v>
      </x:c>
      <x:c r="H17" s="31" t="str">
        <x:v>Pass</x:v>
      </x:c>
      <x:c r="I17" s="31" t="str">
        <x:v>AuthContext checks token using GET /auth/me.</x:v>
      </x:c>
    </x:row>
    <x:row r="18" ht="39" customHeight="1">
      <x:c r="A18" s="31" t="str">
        <x:v>SRC-015</x:v>
      </x:c>
      <x:c r="B18" s="31" t="str">
        <x:v>1. User Authentication &amp; Profile Management</x:v>
      </x:c>
      <x:c r="C18" s="31" t="str">
        <x:v>Invalid Token Logout</x:v>
      </x:c>
      <x:c r="D18" s="31" t="str">
        <x:v>Check invalid token removes session.</x:v>
      </x:c>
      <x:c r="E18" s="31" t="str">
        <x:v>Invalid token is stored in localStorage.</x:v>
      </x:c>
      <x:c r="F18" s="31" t="str">
        <x:v>1. Add wrong token in localStorage. 2. Refresh app or open protected page.</x:v>
      </x:c>
      <x:c r="G18" s="31" t="str">
        <x:v>User is redirected to login and storage is cleared.</x:v>
      </x:c>
      <x:c r="H18" s="31" t="str">
        <x:v>Pass</x:v>
      </x:c>
      <x:c r="I18" s="31" t="str">
        <x:v>axiosInstance handles 401 globally.</x:v>
      </x:c>
    </x:row>
    <x:row r="19" ht="39" customHeight="1">
      <x:c r="A19" s="31" t="str">
        <x:v>SRC-016</x:v>
      </x:c>
      <x:c r="B19" s="31" t="str">
        <x:v>1. User Authentication &amp; Profile Management</x:v>
      </x:c>
      <x:c r="C19" s="31" t="str">
        <x:v>JWT Sent In Header</x:v>
      </x:c>
      <x:c r="D19" s="31" t="str">
        <x:v>Check that token is sent with backend requests.</x:v>
      </x:c>
      <x:c r="E19" s="31" t="str">
        <x:v>User is logged in.</x:v>
      </x:c>
      <x:c r="F19" s="31" t="str">
        <x:v>1. Open profile page. 2. Check network request headers.</x:v>
      </x:c>
      <x:c r="G19" s="31" t="str">
        <x:v>Authorization header contains Bearer token.</x:v>
      </x:c>
      <x:c r="H19" s="31" t="str">
        <x:v>Pass</x:v>
      </x:c>
      <x:c r="I19" s="31" t="str">
        <x:v>axiosInstance request interceptor adds token.</x:v>
      </x:c>
    </x:row>
    <x:row r="20" ht="39" customHeight="1">
      <x:c r="A20" s="31" t="str">
        <x:v>SRC-017</x:v>
      </x:c>
      <x:c r="B20" s="31" t="str">
        <x:v>1. User Authentication &amp; Profile Management</x:v>
      </x:c>
      <x:c r="C20" s="31" t="str">
        <x:v>Open Dashboard Without Login</x:v>
      </x:c>
      <x:c r="D20" s="31" t="str">
        <x:v>Check protected route for dashboard.</x:v>
      </x:c>
      <x:c r="E20" s="31" t="str">
        <x:v>User is logged out.</x:v>
      </x:c>
      <x:c r="F20" s="31" t="str">
        <x:v>1. Directly open /dashboard.</x:v>
      </x:c>
      <x:c r="G20" s="31" t="str">
        <x:v>User is sent to /login.</x:v>
      </x:c>
      <x:c r="H20" s="31" t="str">
        <x:v>Pass</x:v>
      </x:c>
      <x:c r="I20" s="31" t="str">
        <x:v>ProtectedRoute checks user from AuthContext.</x:v>
      </x:c>
    </x:row>
    <x:row r="21" ht="39" customHeight="1">
      <x:c r="A21" s="31" t="str">
        <x:v>SRC-018</x:v>
      </x:c>
      <x:c r="B21" s="31" t="str">
        <x:v>1. User Authentication &amp; Profile Management</x:v>
      </x:c>
      <x:c r="C21" s="31" t="str">
        <x:v>Open Profile Without Login</x:v>
      </x:c>
      <x:c r="D21" s="31" t="str">
        <x:v>Check protected route for profile page.</x:v>
      </x:c>
      <x:c r="E21" s="31" t="str">
        <x:v>User is logged out.</x:v>
      </x:c>
      <x:c r="F21" s="31" t="str">
        <x:v>1. Directly open /profile.</x:v>
      </x:c>
      <x:c r="G21" s="31" t="str">
        <x:v>User is sent to /login.</x:v>
      </x:c>
      <x:c r="H21" s="31" t="str">
        <x:v>Pass</x:v>
      </x:c>
      <x:c r="I21" s="31" t="str">
        <x:v>Profile route is wrapped with ProtectedRoute.</x:v>
      </x:c>
    </x:row>
    <x:row r="22" ht="39" customHeight="1">
      <x:c r="A22" s="31" t="str">
        <x:v>SRC-019</x:v>
      </x:c>
      <x:c r="B22" s="31" t="str">
        <x:v>1. User Authentication &amp; Profile Management</x:v>
      </x:c>
      <x:c r="C22" s="31" t="str">
        <x:v>Logout</x:v>
      </x:c>
      <x:c r="D22" s="31" t="str">
        <x:v>Check logout button clears user session.</x:v>
      </x:c>
      <x:c r="E22" s="31" t="str">
        <x:v>User is logged in.</x:v>
      </x:c>
      <x:c r="F22" s="31" t="str">
        <x:v>1. Click Logout button from navbar.</x:v>
      </x:c>
      <x:c r="G22" s="31" t="str">
        <x:v>Token and user are removed and login page opens.</x:v>
      </x:c>
      <x:c r="H22" s="31" t="str">
        <x:v>Pass</x:v>
      </x:c>
      <x:c r="I22" s="31" t="str">
        <x:v>Navbar calls logout() and navigate(/login).</x:v>
      </x:c>
    </x:row>
    <x:row r="23" ht="39" customHeight="1">
      <x:c r="A23" s="31" t="str">
        <x:v>SRC-020</x:v>
      </x:c>
      <x:c r="B23" s="31" t="str">
        <x:v>1. User Authentication &amp; Profile Management</x:v>
      </x:c>
      <x:c r="C23" s="31" t="str">
        <x:v>Forgot Password Page Open</x:v>
      </x:c>
      <x:c r="D23" s="31" t="str">
        <x:v>Check forgot password page opens from login.</x:v>
      </x:c>
      <x:c r="E23" s="31" t="str">
        <x:v>None.</x:v>
      </x:c>
      <x:c r="F23" s="31" t="str">
        <x:v>1. Open login page. 2. Click Forgot password link.</x:v>
      </x:c>
      <x:c r="G23" s="31" t="str">
        <x:v>Forgot password page is displayed.</x:v>
      </x:c>
      <x:c r="H23" s="31" t="str">
        <x:v>Pass</x:v>
      </x:c>
      <x:c r="I23" s="31" t="str">
        <x:v>LoginPage.jsx has link to /forgot-password.</x:v>
      </x:c>
    </x:row>
    <x:row r="24" ht="39" customHeight="1">
      <x:c r="A24" s="31" t="str">
        <x:v>SRC-021</x:v>
      </x:c>
      <x:c r="B24" s="31" t="str">
        <x:v>1. User Authentication &amp; Profile Management</x:v>
      </x:c>
      <x:c r="C24" s="31" t="str">
        <x:v>Forgot Password Valid Email</x:v>
      </x:c>
      <x:c r="D24" s="31" t="str">
        <x:v>Check reset link generation for existing email.</x:v>
      </x:c>
      <x:c r="E24" s="31" t="str">
        <x:v>A registered email exists. Mail may not be configured.</x:v>
      </x:c>
      <x:c r="F24" s="31" t="str">
        <x:v>1. Open forgot password page. 2. Enter registered email. 3. Click Send reset link.</x:v>
      </x:c>
      <x:c r="G24" s="31" t="str">
        <x:v>Reset message is shown. If mail is not configured, reset link is shown on page.</x:v>
      </x:c>
      <x:c r="H24" s="31" t="str">
        <x:v>Pass</x:v>
      </x:c>
      <x:c r="I24" s="31" t="str">
        <x:v>AuthServiceImpl.forgotPassword returns resetLink when mail config is missing.</x:v>
      </x:c>
    </x:row>
    <x:row r="25" ht="39" customHeight="1">
      <x:c r="A25" s="31" t="str">
        <x:v>SRC-022</x:v>
      </x:c>
      <x:c r="B25" s="31" t="str">
        <x:v>1. User Authentication &amp; Profile Management</x:v>
      </x:c>
      <x:c r="C25" s="31" t="str">
        <x:v>Forgot Password Unknown Email</x:v>
      </x:c>
      <x:c r="D25" s="31" t="str">
        <x:v>Check app does not reveal if email exists.</x:v>
      </x:c>
      <x:c r="E25" s="31" t="str">
        <x:v>Use an email not present in database.</x:v>
      </x:c>
      <x:c r="F25" s="31" t="str">
        <x:v>1. Open forgot password page. 2. Enter unknown email. 3. Submit.</x:v>
      </x:c>
      <x:c r="G25" s="31" t="str">
        <x:v>Generic reset message is shown.</x:v>
      </x:c>
      <x:c r="H25" s="31" t="str">
        <x:v>Pass</x:v>
      </x:c>
      <x:c r="I25" s="31" t="str">
        <x:v>AuthServiceImpl returns same reset message for unknown email.</x:v>
      </x:c>
    </x:row>
    <x:row r="26" ht="39" customHeight="1">
      <x:c r="A26" s="31" t="str">
        <x:v>SRC-023</x:v>
      </x:c>
      <x:c r="B26" s="31" t="str">
        <x:v>1. User Authentication &amp; Profile Management</x:v>
      </x:c>
      <x:c r="C26" s="31" t="str">
        <x:v>Reset Password Without Token</x:v>
      </x:c>
      <x:c r="D26" s="31" t="str">
        <x:v>Check reset page behavior without token.</x:v>
      </x:c>
      <x:c r="E26" s="31" t="str">
        <x:v>None.</x:v>
      </x:c>
      <x:c r="F26" s="31" t="str">
        <x:v>1. Open /reset-password without token.</x:v>
      </x:c>
      <x:c r="G26" s="31" t="str">
        <x:v>Update password button is disabled.</x:v>
      </x:c>
      <x:c r="H26" s="31" t="str">
        <x:v>Pass</x:v>
      </x:c>
      <x:c r="I26" s="31" t="str">
        <x:v>ResetPasswordPage disables button when token is missing.</x:v>
      </x:c>
    </x:row>
    <x:row r="27" ht="39" customHeight="1">
      <x:c r="A27" s="31" t="str">
        <x:v>SRC-024</x:v>
      </x:c>
      <x:c r="B27" s="31" t="str">
        <x:v>1. User Authentication &amp; Profile Management</x:v>
      </x:c>
      <x:c r="C27" s="31" t="str">
        <x:v>Reset Password Mismatch</x:v>
      </x:c>
      <x:c r="D27" s="31" t="str">
        <x:v>Check confirm password validation.</x:v>
      </x:c>
      <x:c r="E27" s="31" t="str">
        <x:v>Reset page has token in URL.</x:v>
      </x:c>
      <x:c r="F27" s="31" t="str">
        <x:v>1. Enter different password and confirm password. 2. Submit.</x:v>
      </x:c>
      <x:c r="G27" s="31" t="str">
        <x:v>Passwords do not match message is shown.</x:v>
      </x:c>
      <x:c r="H27" s="31" t="str">
        <x:v>Pass</x:v>
      </x:c>
      <x:c r="I27" s="31" t="str">
        <x:v>ResetPasswordPage checks password and confirmPassword before API call.</x:v>
      </x:c>
    </x:row>
    <x:row r="28" ht="39" customHeight="1">
      <x:c r="A28" s="31" t="str">
        <x:v>SRC-025</x:v>
      </x:c>
      <x:c r="B28" s="31" t="str">
        <x:v>1. User Authentication &amp; Profile Management</x:v>
      </x:c>
      <x:c r="C28" s="31" t="str">
        <x:v>Reset Password Short Password</x:v>
      </x:c>
      <x:c r="D28" s="31" t="str">
        <x:v>Check short password during reset.</x:v>
      </x:c>
      <x:c r="E28" s="31" t="str">
        <x:v>Reset token exists.</x:v>
      </x:c>
      <x:c r="F28" s="31" t="str">
        <x:v>1. Enter password less than 6 characters. 2. Submit.</x:v>
      </x:c>
      <x:c r="G28" s="31" t="str">
        <x:v>Password must be at least 6 characters message is shown.</x:v>
      </x:c>
      <x:c r="H28" s="31" t="str">
        <x:v>Pass</x:v>
      </x:c>
      <x:c r="I28" s="31" t="str">
        <x:v>ResetPasswordRequest has @Size(min = 6).</x:v>
      </x:c>
    </x:row>
    <x:row r="29" ht="39" customHeight="1">
      <x:c r="A29" s="31" t="str">
        <x:v>SRC-026</x:v>
      </x:c>
      <x:c r="B29" s="31" t="str">
        <x:v>1. User Authentication &amp; Profile Management</x:v>
      </x:c>
      <x:c r="C29" s="31" t="str">
        <x:v>Reset Password Invalid Token</x:v>
      </x:c>
      <x:c r="D29" s="31" t="str">
        <x:v>Check invalid reset token is rejected.</x:v>
      </x:c>
      <x:c r="E29" s="31" t="str">
        <x:v>Use wrong or expired token.</x:v>
      </x:c>
      <x:c r="F29" s="31" t="str">
        <x:v>1. Open reset page with wrong token. 2. Enter valid password. 3. Submit.</x:v>
      </x:c>
      <x:c r="G29" s="31" t="str">
        <x:v>Password reset link is invalid or expired message is shown.</x:v>
      </x:c>
      <x:c r="H29" s="31" t="str">
        <x:v>Pass</x:v>
      </x:c>
      <x:c r="I29" s="31" t="str">
        <x:v>AuthServiceImpl.resetPassword checks hashed reset token and expiry.</x:v>
      </x:c>
    </x:row>
    <x:row r="30" ht="39" customHeight="1">
      <x:c r="A30" s="31" t="str">
        <x:v>SRC-027</x:v>
      </x:c>
      <x:c r="B30" s="31" t="str">
        <x:v>1. User Authentication &amp; Profile Management</x:v>
      </x:c>
      <x:c r="C30" s="31" t="str">
        <x:v>Login Lockout After Many Wrong Attempts</x:v>
      </x:c>
      <x:c r="D30" s="31" t="str">
        <x:v>Check if account locks after many failed logins.</x:v>
      </x:c>
      <x:c r="E30" s="31" t="str">
        <x:v>Registered user exists.</x:v>
      </x:c>
      <x:c r="F30" s="31" t="str">
        <x:v>1. Enter wrong password many times. 2. Observe result.</x:v>
      </x:c>
      <x:c r="G30" s="31" t="str">
        <x:v>Account lock or captcha should appear if implemented.</x:v>
      </x:c>
      <x:c r="H30" s="31" t="str">
        <x:v>Not implemented</x:v>
      </x:c>
      <x:c r="I30" s="31" t="str">
        <x:v>No lockout or captcha code exists.</x:v>
      </x:c>
    </x:row>
    <x:row r="31" ht="39" customHeight="1">
      <x:c r="A31" s="31" t="str">
        <x:v>SRC-028</x:v>
      </x:c>
      <x:c r="B31" s="31" t="str">
        <x:v>2. User Profile Module</x:v>
      </x:c>
      <x:c r="C31" s="31" t="str">
        <x:v>Profile Page Open</x:v>
      </x:c>
      <x:c r="D31" s="31" t="str">
        <x:v>Check logged in user can open profile page.</x:v>
      </x:c>
      <x:c r="E31" s="31" t="str">
        <x:v>User is logged in.</x:v>
      </x:c>
      <x:c r="F31" s="31" t="str">
        <x:v>1. Click Profile from navbar.</x:v>
      </x:c>
      <x:c r="G31" s="31" t="str">
        <x:v>Profile page opens with user details.</x:v>
      </x:c>
      <x:c r="H31" s="31" t="str">
        <x:v>Pass</x:v>
      </x:c>
      <x:c r="I31" s="31" t="str">
        <x:v>ProfilePage.jsx calls getProfile().</x:v>
      </x:c>
    </x:row>
    <x:row r="32" ht="39" customHeight="1">
      <x:c r="A32" s="31" t="str">
        <x:v>SRC-029</x:v>
      </x:c>
      <x:c r="B32" s="31" t="str">
        <x:v>2. User Profile Module</x:v>
      </x:c>
      <x:c r="C32" s="31" t="str">
        <x:v>Profile Data Display</x:v>
      </x:c>
      <x:c r="D32" s="31" t="str">
        <x:v>Check profile details are visible.</x:v>
      </x:c>
      <x:c r="E32" s="31" t="str">
        <x:v>User is logged in.</x:v>
      </x:c>
      <x:c r="F32" s="31" t="str">
        <x:v>1. Open profile page. 2. Check left profile card.</x:v>
      </x:c>
      <x:c r="G32" s="31" t="str">
        <x:v>Name, email, user id, joined date, and last updated date are shown.</x:v>
      </x:c>
      <x:c r="H32" s="31" t="str">
        <x:v>Pass</x:v>
      </x:c>
      <x:c r="I32" s="31" t="str">
        <x:v>ProfileResponse returns userId, name, email, role, createdAt, updatedAt.</x:v>
      </x:c>
    </x:row>
    <x:row r="33" ht="39" customHeight="1">
      <x:c r="A33" s="31" t="str">
        <x:v>SRC-030</x:v>
      </x:c>
      <x:c r="B33" s="31" t="str">
        <x:v>2. User Profile Module</x:v>
      </x:c>
      <x:c r="C33" s="31" t="str">
        <x:v>Profile Loading Message</x:v>
      </x:c>
      <x:c r="D33" s="31" t="str">
        <x:v>Check loading text while profile is loading.</x:v>
      </x:c>
      <x:c r="E33" s="31" t="str">
        <x:v>Slow network or delayed backend.</x:v>
      </x:c>
      <x:c r="F33" s="31" t="str">
        <x:v>1. Open profile page. 2. Observe screen before data loads.</x:v>
      </x:c>
      <x:c r="G33" s="31" t="str">
        <x:v>Loading profile... is displayed.</x:v>
      </x:c>
      <x:c r="H33" s="31" t="str">
        <x:v>Pass</x:v>
      </x:c>
      <x:c r="I33" s="31" t="str">
        <x:v>ProfilePage.jsx shows loading state.</x:v>
      </x:c>
    </x:row>
    <x:row r="34" ht="39" customHeight="1">
      <x:c r="A34" s="31" t="str">
        <x:v>SRC-031</x:v>
      </x:c>
      <x:c r="B34" s="31" t="str">
        <x:v>2. User Profile Module</x:v>
      </x:c>
      <x:c r="C34" s="31" t="str">
        <x:v>Update Profile Name</x:v>
      </x:c>
      <x:c r="D34" s="31" t="str">
        <x:v>Check user can update name.</x:v>
      </x:c>
      <x:c r="E34" s="31" t="str">
        <x:v>User is logged in.</x:v>
      </x:c>
      <x:c r="F34" s="31" t="str">
        <x:v>1. Open profile page. 2. Change full name. 3. Click Save changes.</x:v>
      </x:c>
      <x:c r="G34" s="31" t="str">
        <x:v>Profile updated message is shown and new name appears.</x:v>
      </x:c>
      <x:c r="H34" s="31" t="str">
        <x:v>Pass</x:v>
      </x:c>
      <x:c r="I34" s="31" t="str">
        <x:v>PUT /api/auth/profile updates name.</x:v>
      </x:c>
    </x:row>
    <x:row r="35" ht="39" customHeight="1">
      <x:c r="A35" s="31" t="str">
        <x:v>SRC-032</x:v>
      </x:c>
      <x:c r="B35" s="31" t="str">
        <x:v>2. User Profile Module</x:v>
      </x:c>
      <x:c r="C35" s="31" t="str">
        <x:v>Update Profile Email</x:v>
      </x:c>
      <x:c r="D35" s="31" t="str">
        <x:v>Check user can update email.</x:v>
      </x:c>
      <x:c r="E35" s="31" t="str">
        <x:v>User is logged in. New email is unique.</x:v>
      </x:c>
      <x:c r="F35" s="31" t="str">
        <x:v>1. Open profile page. 2. Change email. 3. Save changes.</x:v>
      </x:c>
      <x:c r="G35" s="31" t="str">
        <x:v>Email updates and user remains logged in.</x:v>
      </x:c>
      <x:c r="H35" s="31" t="str">
        <x:v>Pass</x:v>
      </x:c>
      <x:c r="I35" s="31" t="str">
        <x:v>AuthServiceImpl.updateProfile returns new JWT token after email update.</x:v>
      </x:c>
    </x:row>
    <x:row r="36" ht="39" customHeight="1">
      <x:c r="A36" s="31" t="str">
        <x:v>SRC-033</x:v>
      </x:c>
      <x:c r="B36" s="31" t="str">
        <x:v>2. User Profile Module</x:v>
      </x:c>
      <x:c r="C36" s="31" t="str">
        <x:v>Update With Empty Name</x:v>
      </x:c>
      <x:c r="D36" s="31" t="str">
        <x:v>Check name validation on profile update.</x:v>
      </x:c>
      <x:c r="E36" s="31" t="str">
        <x:v>User is logged in.</x:v>
      </x:c>
      <x:c r="F36" s="31" t="str">
        <x:v>1. Open profile page. 2. Clear full name. 3. Save changes.</x:v>
      </x:c>
      <x:c r="G36" s="31" t="str">
        <x:v>Name is required message is shown.</x:v>
      </x:c>
      <x:c r="H36" s="31" t="str">
        <x:v>Pass</x:v>
      </x:c>
      <x:c r="I36" s="31" t="str">
        <x:v>UpdateProfileRequest has @NotBlank on name.</x:v>
      </x:c>
    </x:row>
    <x:row r="37" ht="39" customHeight="1">
      <x:c r="A37" s="31" t="str">
        <x:v>SRC-034</x:v>
      </x:c>
      <x:c r="B37" s="31" t="str">
        <x:v>2. User Profile Module</x:v>
      </x:c>
      <x:c r="C37" s="31" t="str">
        <x:v>Update With Empty Email</x:v>
      </x:c>
      <x:c r="D37" s="31" t="str">
        <x:v>Check email validation on profile update.</x:v>
      </x:c>
      <x:c r="E37" s="31" t="str">
        <x:v>User is logged in.</x:v>
      </x:c>
      <x:c r="F37" s="31" t="str">
        <x:v>1. Open profile page. 2. Clear email. 3. Save changes.</x:v>
      </x:c>
      <x:c r="G37" s="31" t="str">
        <x:v>Email is required message is shown.</x:v>
      </x:c>
      <x:c r="H37" s="31" t="str">
        <x:v>Pass</x:v>
      </x:c>
      <x:c r="I37" s="31" t="str">
        <x:v>UpdateProfileRequest has @NotBlank on email.</x:v>
      </x:c>
    </x:row>
    <x:row r="38" ht="39" customHeight="1">
      <x:c r="A38" s="31" t="str">
        <x:v>SRC-035</x:v>
      </x:c>
      <x:c r="B38" s="31" t="str">
        <x:v>2. User Profile Module</x:v>
      </x:c>
      <x:c r="C38" s="31" t="str">
        <x:v>Update With Invalid Email</x:v>
      </x:c>
      <x:c r="D38" s="31" t="str">
        <x:v>Check invalid email on profile update.</x:v>
      </x:c>
      <x:c r="E38" s="31" t="str">
        <x:v>User is logged in.</x:v>
      </x:c>
      <x:c r="F38" s="31" t="str">
        <x:v>1. Enter wrong email format. 2. Save changes.</x:v>
      </x:c>
      <x:c r="G38" s="31" t="str">
        <x:v>Email must be valid message is shown or browser blocks submit.</x:v>
      </x:c>
      <x:c r="H38" s="31" t="str">
        <x:v>Pass</x:v>
      </x:c>
      <x:c r="I38" s="31" t="str">
        <x:v>UpdateProfileRequest has @Email and input type=email.</x:v>
      </x:c>
    </x:row>
    <x:row r="39" ht="39" customHeight="1">
      <x:c r="A39" s="31" t="str">
        <x:v>SRC-036</x:v>
      </x:c>
      <x:c r="B39" s="31" t="str">
        <x:v>2. User Profile Module</x:v>
      </x:c>
      <x:c r="C39" s="31" t="str">
        <x:v>Update With Duplicate Email</x:v>
      </x:c>
      <x:c r="D39" s="31" t="str">
        <x:v>Check user cannot use another user email.</x:v>
      </x:c>
      <x:c r="E39" s="31" t="str">
        <x:v>Two users exist.</x:v>
      </x:c>
      <x:c r="F39" s="31" t="str">
        <x:v>1. Login as first user. 2. Enter second user email in profile. 3. Save.</x:v>
      </x:c>
      <x:c r="G39" s="31" t="str">
        <x:v>Email already in use error is shown.</x:v>
      </x:c>
      <x:c r="H39" s="31" t="str">
        <x:v>Pass</x:v>
      </x:c>
      <x:c r="I39" s="31" t="str">
        <x:v>AuthServiceImpl.updateProfile checks duplicate email.</x:v>
      </x:c>
    </x:row>
    <x:row r="40" ht="39" customHeight="1">
      <x:c r="A40" s="31" t="str">
        <x:v>SRC-037</x:v>
      </x:c>
      <x:c r="B40" s="31" t="str">
        <x:v>2. User Profile Module</x:v>
      </x:c>
      <x:c r="C40" s="31" t="str">
        <x:v>Change Password</x:v>
      </x:c>
      <x:c r="D40" s="31" t="str">
        <x:v>Check password can be changed from profile.</x:v>
      </x:c>
      <x:c r="E40" s="31" t="str">
        <x:v>User is logged in and knows current password.</x:v>
      </x:c>
      <x:c r="F40" s="31" t="str">
        <x:v>1. Enter current password. 2. Enter new password. 3. Click Save changes. 4. Logout and login with new password.</x:v>
      </x:c>
      <x:c r="G40" s="31" t="str">
        <x:v>Password changes and login works with new password.</x:v>
      </x:c>
      <x:c r="H40" s="31" t="str">
        <x:v>Pass</x:v>
      </x:c>
      <x:c r="I40" s="31" t="str">
        <x:v>AuthServiceImpl checks current password before encoding new password.</x:v>
      </x:c>
    </x:row>
    <x:row r="41" ht="39" customHeight="1">
      <x:c r="A41" s="31" t="str">
        <x:v>SRC-038</x:v>
      </x:c>
      <x:c r="B41" s="31" t="str">
        <x:v>2. User Profile Module</x:v>
      </x:c>
      <x:c r="C41" s="31" t="str">
        <x:v>Change Password With Wrong Current Password</x:v>
      </x:c>
      <x:c r="D41" s="31" t="str">
        <x:v>Check wrong current password is rejected.</x:v>
      </x:c>
      <x:c r="E41" s="31" t="str">
        <x:v>User is logged in.</x:v>
      </x:c>
      <x:c r="F41" s="31" t="str">
        <x:v>1. Enter wrong current password. 2. Enter new password. 3. Save.</x:v>
      </x:c>
      <x:c r="G41" s="31" t="str">
        <x:v>Current password is incorrect error is shown.</x:v>
      </x:c>
      <x:c r="H41" s="31" t="str">
        <x:v>Pass</x:v>
      </x:c>
      <x:c r="I41" s="31" t="str">
        <x:v>AuthServiceImpl uses passwordEncoder.matches.</x:v>
      </x:c>
    </x:row>
    <x:row r="42" ht="39" customHeight="1">
      <x:c r="A42" s="31" t="str">
        <x:v>SRC-039</x:v>
      </x:c>
      <x:c r="B42" s="31" t="str">
        <x:v>2. User Profile Module</x:v>
      </x:c>
      <x:c r="C42" s="31" t="str">
        <x:v>Change Password Without Current Password</x:v>
      </x:c>
      <x:c r="D42" s="31" t="str">
        <x:v>Check current password is required for password change.</x:v>
      </x:c>
      <x:c r="E42" s="31" t="str">
        <x:v>User is logged in.</x:v>
      </x:c>
      <x:c r="F42" s="31" t="str">
        <x:v>1. Leave current password empty. 2. Enter new password. 3. Save.</x:v>
      </x:c>
      <x:c r="G42" s="31" t="str">
        <x:v>Current password is incorrect error is shown.</x:v>
      </x:c>
      <x:c r="H42" s="31" t="str">
        <x:v>Pass</x:v>
      </x:c>
      <x:c r="I42" s="31" t="str">
        <x:v>Backend rejects newPassword when currentPassword is empty.</x:v>
      </x:c>
    </x:row>
    <x:row r="43" ht="39" customHeight="1">
      <x:c r="A43" s="31" t="str">
        <x:v>SRC-040</x:v>
      </x:c>
      <x:c r="B43" s="31" t="str">
        <x:v>2. User Profile Module</x:v>
      </x:c>
      <x:c r="C43" s="31" t="str">
        <x:v>Short New Password</x:v>
      </x:c>
      <x:c r="D43" s="31" t="str">
        <x:v>Check new password minimum length.</x:v>
      </x:c>
      <x:c r="E43" s="31" t="str">
        <x:v>User is logged in.</x:v>
      </x:c>
      <x:c r="F43" s="31" t="str">
        <x:v>1. Enter current password. 2. Enter new password less than 6 characters. 3. Save.</x:v>
      </x:c>
      <x:c r="G43" s="31" t="str">
        <x:v>New password must be at least 6 characters message is shown.</x:v>
      </x:c>
      <x:c r="H43" s="31" t="str">
        <x:v>Pass</x:v>
      </x:c>
      <x:c r="I43" s="31" t="str">
        <x:v>UpdateProfileRequest.newPassword has @Size(min = 6).</x:v>
      </x:c>
    </x:row>
    <x:row r="44" ht="39" customHeight="1">
      <x:c r="A44" s="31" t="str">
        <x:v>SRC-041</x:v>
      </x:c>
      <x:c r="B44" s="31" t="str">
        <x:v>2. User Profile Module</x:v>
      </x:c>
      <x:c r="C44" s="31" t="str">
        <x:v>Update Profile Without Password Change</x:v>
      </x:c>
      <x:c r="D44" s="31" t="str">
        <x:v>Check name/email update works without password fields.</x:v>
      </x:c>
      <x:c r="E44" s="31" t="str">
        <x:v>User is logged in.</x:v>
      </x:c>
      <x:c r="F44" s="31" t="str">
        <x:v>1. Edit name or email. 2. Leave password fields blank. 3. Save.</x:v>
      </x:c>
      <x:c r="G44" s="31" t="str">
        <x:v>Profile updates and old password still works.</x:v>
      </x:c>
      <x:c r="H44" s="31" t="str">
        <x:v>Pass</x:v>
      </x:c>
      <x:c r="I44" s="31" t="str">
        <x:v>Password is changed only if newPassword has text.</x:v>
      </x:c>
    </x:row>
    <x:row r="45" ht="39" customHeight="1">
      <x:c r="A45" s="31" t="str">
        <x:v>SRC-042</x:v>
      </x:c>
      <x:c r="B45" s="31" t="str">
        <x:v>2. User Profile Module</x:v>
      </x:c>
      <x:c r="C45" s="31" t="str">
        <x:v>Reset Button</x:v>
      </x:c>
      <x:c r="D45" s="31" t="str">
        <x:v>Check reset button restores form.</x:v>
      </x:c>
      <x:c r="E45" s="31" t="str">
        <x:v>User is on profile page.</x:v>
      </x:c>
      <x:c r="F45" s="31" t="str">
        <x:v>1. Change name and email in form. 2. Click Reset.</x:v>
      </x:c>
      <x:c r="G45" s="31" t="str">
        <x:v>Name and email return to saved values and password fields clear.</x:v>
      </x:c>
      <x:c r="H45" s="31" t="str">
        <x:v>Pass</x:v>
      </x:c>
      <x:c r="I45" s="31" t="str">
        <x:v>ProfilePage.jsx reset button uses emptyForm and profile values.</x:v>
      </x:c>
    </x:row>
    <x:row r="46" ht="39" customHeight="1">
      <x:c r="A46" s="31" t="str">
        <x:v>SRC-043</x:v>
      </x:c>
      <x:c r="B46" s="31" t="str">
        <x:v>2. User Profile Module</x:v>
      </x:c>
      <x:c r="C46" s="31" t="str">
        <x:v>Show Current Password Eye Button</x:v>
      </x:c>
      <x:c r="D46" s="31" t="str">
        <x:v>Check eye button for current password.</x:v>
      </x:c>
      <x:c r="E46" s="31" t="str">
        <x:v>User is on profile page.</x:v>
      </x:c>
      <x:c r="F46" s="31" t="str">
        <x:v>1. Type current password. 2. Click eye button.</x:v>
      </x:c>
      <x:c r="G46" s="31" t="str">
        <x:v>Password becomes visible. Clicking again hides it.</x:v>
      </x:c>
      <x:c r="H46" s="31" t="str">
        <x:v>Pass</x:v>
      </x:c>
      <x:c r="I46" s="31" t="str">
        <x:v>ProfilePage.jsx uses visiblePasswords.currentPassword.</x:v>
      </x:c>
    </x:row>
    <x:row r="47" ht="39" customHeight="1">
      <x:c r="A47" s="31" t="str">
        <x:v>SRC-044</x:v>
      </x:c>
      <x:c r="B47" s="31" t="str">
        <x:v>2. User Profile Module</x:v>
      </x:c>
      <x:c r="C47" s="31" t="str">
        <x:v>Show New Password Eye Button</x:v>
      </x:c>
      <x:c r="D47" s="31" t="str">
        <x:v>Check eye button for new password.</x:v>
      </x:c>
      <x:c r="E47" s="31" t="str">
        <x:v>User is on profile page.</x:v>
      </x:c>
      <x:c r="F47" s="31" t="str">
        <x:v>1. Type new password. 2. Click eye button.</x:v>
      </x:c>
      <x:c r="G47" s="31" t="str">
        <x:v>Password becomes visible. Clicking again hides it.</x:v>
      </x:c>
      <x:c r="H47" s="31" t="str">
        <x:v>Pass</x:v>
      </x:c>
      <x:c r="I47" s="31" t="str">
        <x:v>ProfilePage.jsx uses visiblePasswords.newPassword.</x:v>
      </x:c>
    </x:row>
    <x:row r="48" ht="39" customHeight="1">
      <x:c r="A48" s="31" t="str">
        <x:v>SRC-045</x:v>
      </x:c>
      <x:c r="B48" s="31" t="str">
        <x:v>2. User Profile Module</x:v>
      </x:c>
      <x:c r="C48" s="31" t="str">
        <x:v>Profile Mobile Layout</x:v>
      </x:c>
      <x:c r="D48" s="31" t="str">
        <x:v>Check profile page on small screen.</x:v>
      </x:c>
      <x:c r="E48" s="31" t="str">
        <x:v>User is logged in.</x:v>
      </x:c>
      <x:c r="F48" s="31" t="str">
        <x:v>1. Open profile page. 2. Resize browser to mobile width.</x:v>
      </x:c>
      <x:c r="G48" s="31" t="str">
        <x:v>Profile sections stack one below another.</x:v>
      </x:c>
      <x:c r="H48" s="31" t="str">
        <x:v>Pass</x:v>
      </x:c>
      <x:c r="I48" s="31" t="str">
        <x:v>profile.module.css has max-width 860px media query.</x:v>
      </x:c>
    </x:row>
    <x:row r="49" ht="39" customHeight="1">
      <x:c r="A49" s="31" t="str">
        <x:v>SRC-046</x:v>
      </x:c>
      <x:c r="B49" s="31" t="str">
        <x:v>3. Home Page Module</x:v>
      </x:c>
      <x:c r="C49" s="31" t="str">
        <x:v>Home Page Opens After Login</x:v>
      </x:c>
      <x:c r="D49" s="31" t="str">
        <x:v>Check dashboard opens after successful login.</x:v>
      </x:c>
      <x:c r="E49" s="31" t="str">
        <x:v>User is logged in.</x:v>
      </x:c>
      <x:c r="F49" s="31" t="str">
        <x:v>1. Login with valid user.</x:v>
      </x:c>
      <x:c r="G49" s="31" t="str">
        <x:v>Dashboard page opens.</x:v>
      </x:c>
      <x:c r="H49" s="31" t="str">
        <x:v>Pass</x:v>
      </x:c>
      <x:c r="I49" s="31" t="str">
        <x:v>LoginPage.jsx navigates to /dashboard after login.</x:v>
      </x:c>
    </x:row>
    <x:row r="50" ht="39" customHeight="1">
      <x:c r="A50" s="31" t="str">
        <x:v>SRC-047</x:v>
      </x:c>
      <x:c r="B50" s="31" t="str">
        <x:v>3. Home Page Module</x:v>
      </x:c>
      <x:c r="C50" s="31" t="str">
        <x:v>Home Page Greeting</x:v>
      </x:c>
      <x:c r="D50" s="31" t="str">
        <x:v>Check user name is shown on home page.</x:v>
      </x:c>
      <x:c r="E50" s="31" t="str">
        <x:v>User is logged in.</x:v>
      </x:c>
      <x:c r="F50" s="31" t="str">
        <x:v>1. Open dashboard. 2. Check hero section.</x:v>
      </x:c>
      <x:c r="G50" s="31" t="str">
        <x:v>Good day, user name is displayed.</x:v>
      </x:c>
      <x:c r="H50" s="31" t="str">
        <x:v>Pass</x:v>
      </x:c>
      <x:c r="I50" s="31" t="str">
        <x:v>DashboardPage.jsx uses user?.name.</x:v>
      </x:c>
    </x:row>
    <x:row r="51" ht="39" customHeight="1">
      <x:c r="A51" s="31" t="str">
        <x:v>SRC-048</x:v>
      </x:c>
      <x:c r="B51" s="31" t="str">
        <x:v>3. Home Page Module</x:v>
      </x:c>
      <x:c r="C51" s="31" t="str">
        <x:v>Browse Products Button</x:v>
      </x:c>
      <x:c r="D51" s="31" t="str">
        <x:v>Check Browse products button.</x:v>
      </x:c>
      <x:c r="E51" s="31" t="str">
        <x:v>User is on dashboard.</x:v>
      </x:c>
      <x:c r="F51" s="31" t="str">
        <x:v>1. Click Browse products button.</x:v>
      </x:c>
      <x:c r="G51" s="31" t="str">
        <x:v>Products page opens.</x:v>
      </x:c>
      <x:c r="H51" s="31" t="str">
        <x:v>Pass</x:v>
      </x:c>
      <x:c r="I51" s="31" t="str">
        <x:v>DashboardPage.jsx navigates to /products.</x:v>
      </x:c>
    </x:row>
    <x:row r="52" ht="39" customHeight="1">
      <x:c r="A52" s="31" t="str">
        <x:v>SRC-049</x:v>
      </x:c>
      <x:c r="B52" s="31" t="str">
        <x:v>3. Home Page Module</x:v>
      </x:c>
      <x:c r="C52" s="31" t="str">
        <x:v>Products Card Click</x:v>
      </x:c>
      <x:c r="D52" s="31" t="str">
        <x:v>Check Products card navigation.</x:v>
      </x:c>
      <x:c r="E52" s="31" t="str">
        <x:v>User is on dashboard.</x:v>
      </x:c>
      <x:c r="F52" s="31" t="str">
        <x:v>1. Click Products card.</x:v>
      </x:c>
      <x:c r="G52" s="31" t="str">
        <x:v>Products page opens.</x:v>
      </x:c>
      <x:c r="H52" s="31" t="str">
        <x:v>Pass</x:v>
      </x:c>
      <x:c r="I52" s="31" t="str">
        <x:v>Products card has onClick navigate(/products).</x:v>
      </x:c>
    </x:row>
    <x:row r="53" ht="39" customHeight="1">
      <x:c r="A53" s="31" t="str">
        <x:v>SRC-050</x:v>
      </x:c>
      <x:c r="B53" s="31" t="str">
        <x:v>3. Home Page Module</x:v>
      </x:c>
      <x:c r="C53" s="31" t="str">
        <x:v>My Cart Card Click</x:v>
      </x:c>
      <x:c r="D53" s="31" t="str">
        <x:v>Check My cart card navigation.</x:v>
      </x:c>
      <x:c r="E53" s="31" t="str">
        <x:v>User is on dashboard.</x:v>
      </x:c>
      <x:c r="F53" s="31" t="str">
        <x:v>1. Click My cart card.</x:v>
      </x:c>
      <x:c r="G53" s="31" t="str">
        <x:v>Cart page opens.</x:v>
      </x:c>
      <x:c r="H53" s="31" t="str">
        <x:v>Pass</x:v>
      </x:c>
      <x:c r="I53" s="31" t="str">
        <x:v>My cart card has onClick navigate(/cart).</x:v>
      </x:c>
    </x:row>
    <x:row r="54" ht="39" customHeight="1">
      <x:c r="A54" s="31" t="str">
        <x:v>SRC-051</x:v>
      </x:c>
      <x:c r="B54" s="31" t="str">
        <x:v>3. Home Page Module</x:v>
      </x:c>
      <x:c r="C54" s="31" t="str">
        <x:v>Orders Card Click</x:v>
      </x:c>
      <x:c r="D54" s="31" t="str">
        <x:v>Check Orders card navigation.</x:v>
      </x:c>
      <x:c r="E54" s="31" t="str">
        <x:v>User is on dashboard.</x:v>
      </x:c>
      <x:c r="F54" s="31" t="str">
        <x:v>1. Click Orders card.</x:v>
      </x:c>
      <x:c r="G54" s="31" t="str">
        <x:v>Orders page should open if card is clickable.</x:v>
      </x:c>
      <x:c r="H54" s="31" t="str">
        <x:v>Not implemented</x:v>
      </x:c>
      <x:c r="I54" s="31" t="str">
        <x:v>Orders card has no onClick in DashboardPage.jsx.</x:v>
      </x:c>
    </x:row>
    <x:row r="55" ht="39" customHeight="1">
      <x:c r="A55" s="31" t="str">
        <x:v>SRC-052</x:v>
      </x:c>
      <x:c r="B55" s="31" t="str">
        <x:v>3. Home Page Module</x:v>
      </x:c>
      <x:c r="C55" s="31" t="str">
        <x:v>Navbar Home Link</x:v>
      </x:c>
      <x:c r="D55" s="31" t="str">
        <x:v>Check Home link from navbar.</x:v>
      </x:c>
      <x:c r="E55" s="31" t="str">
        <x:v>User is logged in.</x:v>
      </x:c>
      <x:c r="F55" s="31" t="str">
        <x:v>1. Click Home in navbar.</x:v>
      </x:c>
      <x:c r="G55" s="31" t="str">
        <x:v>Dashboard opens and Home link is active.</x:v>
      </x:c>
      <x:c r="H55" s="31" t="str">
        <x:v>Pass</x:v>
      </x:c>
      <x:c r="I55" s="31" t="str">
        <x:v>Navbar.jsx navigates to /dashboard.</x:v>
      </x:c>
    </x:row>
    <x:row r="56" ht="39" customHeight="1">
      <x:c r="A56" s="31" t="str">
        <x:v>SRC-053</x:v>
      </x:c>
      <x:c r="B56" s="31" t="str">
        <x:v>3. Home Page Module</x:v>
      </x:c>
      <x:c r="C56" s="31" t="str">
        <x:v>Logo Click</x:v>
      </x:c>
      <x:c r="D56" s="31" t="str">
        <x:v>Check Mercato logo navigation.</x:v>
      </x:c>
      <x:c r="E56" s="31" t="str">
        <x:v>User is logged in.</x:v>
      </x:c>
      <x:c r="F56" s="31" t="str">
        <x:v>1. Click Mercato logo in navbar.</x:v>
      </x:c>
      <x:c r="G56" s="31" t="str">
        <x:v>Dashboard opens.</x:v>
      </x:c>
      <x:c r="H56" s="31" t="str">
        <x:v>Pass</x:v>
      </x:c>
      <x:c r="I56" s="31" t="str">
        <x:v>Navbar logo click navigates to /dashboard.</x:v>
      </x:c>
    </x:row>
    <x:row r="57" ht="39" customHeight="1">
      <x:c r="A57" s="31" t="str">
        <x:v>SRC-054</x:v>
      </x:c>
      <x:c r="B57" s="31" t="str">
        <x:v>3. Home Page Module</x:v>
      </x:c>
      <x:c r="C57" s="31" t="str">
        <x:v>Admin Link Hidden For User</x:v>
      </x:c>
      <x:c r="D57" s="31" t="str">
        <x:v>Check normal user cannot see admin link.</x:v>
      </x:c>
      <x:c r="E57" s="31" t="str">
        <x:v>Logged in user role is USER.</x:v>
      </x:c>
      <x:c r="F57" s="31" t="str">
        <x:v>1. Open dashboard. 2. Check navbar.</x:v>
      </x:c>
      <x:c r="G57" s="31" t="str">
        <x:v>Admin Panel link is not visible.</x:v>
      </x:c>
      <x:c r="H57" s="31" t="str">
        <x:v>Pass</x:v>
      </x:c>
      <x:c r="I57" s="31" t="str">
        <x:v>Navbar shows Admin Panel only for ADMIN role.</x:v>
      </x:c>
    </x:row>
    <x:row r="58" ht="39" customHeight="1">
      <x:c r="A58" s="31" t="str">
        <x:v>SRC-055</x:v>
      </x:c>
      <x:c r="B58" s="31" t="str">
        <x:v>3. Home Page Module</x:v>
      </x:c>
      <x:c r="C58" s="31" t="str">
        <x:v>Admin Link Visible For Admin</x:v>
      </x:c>
      <x:c r="D58" s="31" t="str">
        <x:v>Check admin can see admin link.</x:v>
      </x:c>
      <x:c r="E58" s="31" t="str">
        <x:v>Logged in user role is ADMIN.</x:v>
      </x:c>
      <x:c r="F58" s="31" t="str">
        <x:v>1. Open dashboard. 2. Check navbar.</x:v>
      </x:c>
      <x:c r="G58" s="31" t="str">
        <x:v>Admin Panel link is visible.</x:v>
      </x:c>
      <x:c r="H58" s="31" t="str">
        <x:v>Pass</x:v>
      </x:c>
      <x:c r="I58" s="31" t="str">
        <x:v>Navbar checks user?.role === ADMIN.</x:v>
      </x:c>
    </x:row>
    <x:row r="59" ht="39" customHeight="1">
      <x:c r="A59" s="31" t="str">
        <x:v>SRC-056</x:v>
      </x:c>
      <x:c r="B59" s="31" t="str">
        <x:v>3. Home Page Module</x:v>
      </x:c>
      <x:c r="C59" s="31" t="str">
        <x:v>Cart Badge Count</x:v>
      </x:c>
      <x:c r="D59" s="31" t="str">
        <x:v>Check cart count in navbar.</x:v>
      </x:c>
      <x:c r="E59" s="31" t="str">
        <x:v>User has items in cart.</x:v>
      </x:c>
      <x:c r="F59" s="31" t="str">
        <x:v>1. Open dashboard. 2. Check Cart link in navbar.</x:v>
      </x:c>
      <x:c r="G59" s="31" t="str">
        <x:v>Cart badge shows item count when count is more than zero.</x:v>
      </x:c>
      <x:c r="H59" s="31" t="str">
        <x:v>Pass</x:v>
      </x:c>
      <x:c r="I59" s="31" t="str">
        <x:v>Navbar.jsx calls getCart and shows badge when cartCount &gt; 0.</x:v>
      </x:c>
    </x:row>
    <x:row r="60" ht="39" customHeight="1">
      <x:c r="A60" s="31" t="str">
        <x:v>SRC-057</x:v>
      </x:c>
      <x:c r="B60" s="31" t="str">
        <x:v>3. Home Page Module</x:v>
      </x:c>
      <x:c r="C60" s="31" t="str">
        <x:v>Home Mobile View</x:v>
      </x:c>
      <x:c r="D60" s="31" t="str">
        <x:v>Check dashboard on mobile screen.</x:v>
      </x:c>
      <x:c r="E60" s="31" t="str">
        <x:v>User is logged in.</x:v>
      </x:c>
      <x:c r="F60" s="31" t="str">
        <x:v>1. Open dashboard. 2. Resize screen below 800px.</x:v>
      </x:c>
      <x:c r="G60" s="31" t="str">
        <x:v>Cards show in one column and heading becomes smaller.</x:v>
      </x:c>
      <x:c r="H60" s="31" t="str">
        <x:v>Pass</x:v>
      </x:c>
      <x:c r="I60" s="31" t="str">
        <x:v>dashboard.module.css has max-width 800px media query.</x:v>
      </x:c>
    </x:row>
    <x:row r="61" ht="39" customHeight="1">
      <x:c r="A61" s="31" t="str">
        <x:v>SRC-058</x:v>
      </x:c>
      <x:c r="B61" s="31" t="str">
        <x:v>3. Home Page Module</x:v>
      </x:c>
      <x:c r="C61" s="31" t="str">
        <x:v>Footer Text</x:v>
      </x:c>
      <x:c r="D61" s="31" t="str">
        <x:v>Check footer on home page.</x:v>
      </x:c>
      <x:c r="E61" s="31" t="str">
        <x:v>User is logged in.</x:v>
      </x:c>
      <x:c r="F61" s="31" t="str">
        <x:v>1. Open dashboard. 2. Scroll to footer.</x:v>
      </x:c>
      <x:c r="G61" s="31" t="str">
        <x:v>Footer is visible. Brand text currently shows ShopApp.</x:v>
      </x:c>
      <x:c r="H61" s="31" t="str">
        <x:v>Fail</x:v>
      </x:c>
      <x:c r="I61" s="31" t="str">
        <x:v>Footer.jsx has ShopApp while app branding is Mercato.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6fd34ab6a1b4d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34" hidden="0" customWidth="1"/>
    <x:col min="7" max="7" width="44" hidden="0" customWidth="1"/>
    <x:col min="8" max="8" width="37" hidden="0" customWidth="1"/>
    <x:col min="9" max="9" width="37" hidden="0" customWidth="1"/>
    <x:col min="10" max="10" width="15" hidden="0" customWidth="1"/>
    <x:col min="11" max="11" width="25" hidden="0" customWidth="1"/>
  </x:cols>
  <x:sheetData>
    <x:row r="1">
      <x:c r="A1" s="3" t="str">
        <x:v>Ecommerce QA Bug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27" t="str">
        <x:v>Bug ID</x:v>
      </x:c>
      <x:c r="B3" s="27" t="str">
        <x:v>Module</x:v>
      </x:c>
      <x:c r="C3" s="27" t="str">
        <x:v>Linked Test Case ID</x:v>
      </x:c>
      <x:c r="D3" s="27" t="str">
        <x:v>Severity</x:v>
      </x:c>
      <x:c r="E3" s="27" t="str">
        <x:v>Priority</x:v>
      </x:c>
      <x:c r="F3" s="27" t="str">
        <x:v>Bug Summary</x:v>
      </x:c>
      <x:c r="G3" s="27" t="str">
        <x:v>Steps to Reproduce</x:v>
      </x:c>
      <x:c r="H3" s="27" t="str">
        <x:v>Expected Result</x:v>
      </x:c>
      <x:c r="I3" s="27" t="str">
        <x:v>Actual Result</x:v>
      </x:c>
      <x:c r="J3" s="27" t="str">
        <x:v>Status</x:v>
      </x:c>
      <x:c r="K3" s="27" t="str">
        <x:v>Remarks / Owner</x:v>
      </x:c>
    </x:row>
    <x:row r="4">
      <x:c r="A4" s="31" t="str">
        <x:v>BUG-ECOM-001</x:v>
      </x:c>
      <x:c r="B4" s="31" t="str">
        <x:v>Authentication</x:v>
      </x:c>
      <x:c r="C4" s="31" t="str">
        <x:v>TC-AUTH-002</x:v>
      </x:c>
      <x:c r="D4" s="31" t="str">
        <x:v>Major</x:v>
      </x:c>
      <x:c r="E4" s="31" t="str">
        <x:v>High</x:v>
      </x:c>
      <x:c r="F4" s="31" t="str">
        <x:v>Invalid login message needs clearer UX</x:v>
      </x:c>
      <x:c r="G4" s="31" t="str">
        <x:v>1. Open Login. 2. Enter wrong password. 3. Submit.</x:v>
      </x:c>
      <x:c r="H4" s="31" t="str">
        <x:v>Clear validation message with no session created.</x:v>
      </x:c>
      <x:c r="I4" s="31" t="str">
        <x:v>Generic error message appears.</x:v>
      </x:c>
      <x:c r="J4" s="31" t="str">
        <x:v>Open</x:v>
      </x:c>
      <x:c r="K4" s="31" t="str">
        <x:v>Owner: QA / Dev</x:v>
      </x:c>
    </x:row>
    <x:row r="5">
      <x:c r="A5" s="31" t="str">
        <x:v>BUG-ECOM-002</x:v>
      </x:c>
      <x:c r="B5" s="31" t="str">
        <x:v>Cart &amp; Checkout</x:v>
      </x:c>
      <x:c r="C5" s="31" t="str">
        <x:v>TC-CHK-006</x:v>
      </x:c>
      <x:c r="D5" s="31" t="str">
        <x:v>Critical</x:v>
      </x:c>
      <x:c r="E5" s="31" t="str">
        <x:v>High</x:v>
      </x:c>
      <x:c r="F5" s="31" t="str">
        <x:v>Grand total does not refresh after coupon removal</x:v>
      </x:c>
      <x:c r="G5" s="31" t="str">
        <x:v>1. Apply coupon. 2. Remove coupon. 3. Review total.</x:v>
      </x:c>
      <x:c r="H5" s="31" t="str">
        <x:v>Grand total recalculates immediately.</x:v>
      </x:c>
      <x:c r="I5" s="31" t="str">
        <x:v>Discount remains until refresh.</x:v>
      </x:c>
      <x:c r="J5" s="31" t="str">
        <x:v>Open</x:v>
      </x:c>
      <x:c r="K5" s="31" t="str">
        <x:v>Regression required after fix.</x:v>
      </x:c>
    </x:row>
    <x:row r="6">
      <x:c r="A6" s="31" t="str">
        <x:v>BUG-ECOM-003</x:v>
      </x:c>
      <x:c r="B6" s="31" t="str">
        <x:v>Homepage</x:v>
      </x:c>
      <x:c r="C6" s="31" t="str">
        <x:v>TC-HOME-001</x:v>
      </x:c>
      <x:c r="D6" s="31" t="str">
        <x:v>Minor</x:v>
      </x:c>
      <x:c r="E6" s="31" t="str">
        <x:v>Medium</x:v>
      </x:c>
      <x:c r="F6" s="31" t="str">
        <x:v>Mobile banner spacing needs polish</x:v>
      </x:c>
      <x:c r="G6" s="31" t="str">
        <x:v>1. Open homepage at mobile width. 2. Inspect hero section.</x:v>
      </x:c>
      <x:c r="H6" s="31" t="str">
        <x:v>Text and CTA remain readable.</x:v>
      </x:c>
      <x:c r="I6" s="31" t="str">
        <x:v>CTA sits too close to banner edge.</x:v>
      </x:c>
      <x:c r="J6" s="31" t="str">
        <x:v>In Progress</x:v>
      </x:c>
      <x:c r="K6" s="31" t="str">
        <x:v>UI polish.</x:v>
      </x:c>
    </x:row>
  </x:sheetData>
  <x:mergeCells>
    <x:mergeCell ref="A1:K1"/>
  </x:mergeCells>
  <x:dataValidations count="3">
    <x:dataValidation type="list" sqref="D4:D205">
      <x:formula1>"Critical,Major,Minor,Trivial"</x:formula1>
    </x:dataValidation>
    <x:dataValidation type="list" sqref="E4:E205">
      <x:formula1>"High,Medium,Low"</x:formula1>
    </x:dataValidation>
    <x:dataValidation type="list" sqref="J4:J205">
      <x:formula1>"New,Open,In Progress,Fixed,Retest,Closed,Deferred"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9659fe7eed4e2e"/>
  </x:tableParts>
</x:worksheet>
</file>